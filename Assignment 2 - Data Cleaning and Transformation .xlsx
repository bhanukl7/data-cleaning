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e4642516f06ae46/Desktop/entri tasks/"/>
    </mc:Choice>
  </mc:AlternateContent>
  <xr:revisionPtr revIDLastSave="134" documentId="11_3C784BE47D5BC9D6C729A121CD02E8CB7FE6236B" xr6:coauthVersionLast="47" xr6:coauthVersionMax="47" xr10:uidLastSave="{A700710B-7F74-43A2-A3D8-66C754324CAD}"/>
  <bookViews>
    <workbookView xWindow="-110" yWindow="-110" windowWidth="19420" windowHeight="11500" xr2:uid="{00000000-000D-0000-FFFF-FFFF00000000}"/>
  </bookViews>
  <sheets>
    <sheet name="Table1_3" sheetId="7" r:id="rId1"/>
    <sheet name="Instructions" sheetId="1" r:id="rId2"/>
    <sheet name="Dataset" sheetId="2" r:id="rId3"/>
    <sheet name="Table1_2" sheetId="6" r:id="rId4"/>
    <sheet name="Table1_1" sheetId="5" r:id="rId5"/>
    <sheet name="Table1" sheetId="4" r:id="rId6"/>
    <sheet name="assignment" sheetId="3" r:id="rId7"/>
  </sheets>
  <definedNames>
    <definedName name="ExternalData_1" localSheetId="5" hidden="1">Table1!$A$1:$F$35</definedName>
    <definedName name="ExternalData_2" localSheetId="4" hidden="1">Table1_1!$A$1:$H$35</definedName>
    <definedName name="ExternalData_3" localSheetId="3" hidden="1">Table1_2!$A$1:$G$35</definedName>
    <definedName name="ExternalData_4" localSheetId="0" hidden="1">Table1_3!$A$1:$F$35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IR6213FxEpgZ/k1UDjxyMHI45/G9Bc960XOAAH4UN4="/>
    </ext>
  </extLst>
</workbook>
</file>

<file path=xl/calcChain.xml><?xml version="1.0" encoding="utf-8"?>
<calcChain xmlns="http://schemas.openxmlformats.org/spreadsheetml/2006/main">
  <c r="G20" i="4" l="1"/>
  <c r="G21" i="4"/>
  <c r="G2" i="4"/>
  <c r="G24" i="4"/>
  <c r="G3" i="4"/>
  <c r="G4" i="4"/>
  <c r="G5" i="4"/>
  <c r="G6" i="4"/>
  <c r="G28" i="4"/>
  <c r="G7" i="4"/>
  <c r="G27" i="4"/>
  <c r="G8" i="4"/>
  <c r="G32" i="4"/>
  <c r="G9" i="4"/>
  <c r="G10" i="4"/>
  <c r="G30" i="4"/>
  <c r="G11" i="4"/>
  <c r="G31" i="4"/>
  <c r="G12" i="4"/>
  <c r="G13" i="4"/>
  <c r="G35" i="4"/>
  <c r="G14" i="4"/>
  <c r="G34" i="4"/>
  <c r="G15" i="4"/>
  <c r="G16" i="4"/>
  <c r="G23" i="4"/>
  <c r="G33" i="4"/>
  <c r="G17" i="4"/>
  <c r="G25" i="4"/>
  <c r="G18" i="4"/>
  <c r="G22" i="4"/>
  <c r="G29" i="4"/>
  <c r="G19" i="4"/>
  <c r="G2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25751-BCF7-470A-819F-6CB25885C6C0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2" xr16:uid="{970B32B5-1726-4866-A638-F692E95B8A58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  <connection id="3" xr16:uid="{C5146CF9-E541-4F29-950C-72205261393B}" keepAlive="1" name="Query - Table1_3" description="Connection to the 'Table1_3' query in the workbook." type="5" refreshedVersion="8" background="1" saveData="1">
    <dbPr connection="Provider=Microsoft.Mashup.OleDb.1;Data Source=$Workbook$;Location=Table1_3;Extended Properties=&quot;&quot;" command="SELECT * FROM [Table1_3]"/>
  </connection>
</connections>
</file>

<file path=xl/sharedStrings.xml><?xml version="1.0" encoding="utf-8"?>
<sst xmlns="http://schemas.openxmlformats.org/spreadsheetml/2006/main" count="910" uniqueCount="212">
  <si>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</si>
  <si>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</si>
  <si>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</si>
  <si>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</si>
  <si>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</si>
  <si>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</si>
  <si>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</si>
  <si>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</si>
  <si>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</si>
  <si>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</si>
  <si>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</si>
  <si>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</si>
  <si>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</si>
  <si>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</si>
  <si>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</si>
  <si>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</si>
  <si>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</si>
  <si>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</si>
  <si>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</si>
  <si>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</si>
  <si>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</si>
  <si>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</si>
  <si>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</si>
  <si>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</si>
  <si>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</si>
  <si>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</si>
  <si>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</si>
  <si>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</si>
  <si>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</si>
  <si>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</si>
  <si>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</si>
  <si>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</si>
  <si>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</si>
  <si>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</si>
  <si>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</si>
  <si>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</si>
  <si>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</si>
  <si>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</si>
  <si>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</si>
  <si>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</si>
  <si>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</si>
  <si>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</si>
  <si>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</si>
  <si>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</si>
  <si>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</si>
  <si>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</si>
  <si>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</si>
  <si>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</si>
  <si>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</si>
  <si>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</si>
  <si>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</si>
  <si>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</si>
  <si>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</si>
  <si>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</si>
  <si>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</si>
  <si>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</si>
  <si>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</si>
  <si>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</si>
  <si>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</si>
  <si>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</si>
  <si>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</si>
  <si>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</si>
  <si>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</si>
  <si>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</si>
  <si>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</si>
  <si>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</si>
  <si>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</si>
  <si>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</si>
  <si>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</si>
  <si>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</si>
  <si>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</si>
  <si>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</si>
  <si>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</si>
  <si>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</si>
  <si>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</si>
  <si>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</si>
  <si>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</si>
  <si>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</si>
  <si>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</si>
  <si>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</si>
  <si>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</si>
  <si>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</si>
  <si>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</si>
  <si>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</si>
  <si>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</si>
  <si>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</si>
  <si>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</si>
  <si>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</si>
  <si>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</si>
  <si>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</si>
  <si>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</si>
  <si>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</si>
  <si>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</si>
  <si>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</si>
  <si>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</si>
  <si>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</si>
  <si>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</si>
  <si>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</si>
  <si>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</si>
  <si>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</si>
  <si>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</si>
  <si>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</si>
  <si>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</si>
  <si>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</si>
  <si>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</si>
  <si>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</si>
  <si>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</si>
  <si>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</si>
  <si>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</si>
  <si>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</si>
  <si>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</si>
  <si>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</si>
  <si>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</si>
  <si>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</si>
  <si>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</si>
  <si>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</si>
  <si>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Column1</t>
  </si>
  <si>
    <t>Sum</t>
  </si>
  <si>
    <t>Average</t>
  </si>
  <si>
    <t>Running Total</t>
  </si>
  <si>
    <t>Count</t>
  </si>
  <si>
    <t>T-Shirt</t>
  </si>
  <si>
    <t>0</t>
  </si>
  <si>
    <t>Column2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</si>
  <si>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</si>
  <si>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</si>
  <si>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</si>
  <si>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</si>
  <si>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</si>
  <si>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</si>
  <si>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</si>
  <si>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</si>
  <si>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</si>
  <si>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</si>
  <si>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</si>
  <si>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</si>
  <si>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</si>
  <si>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</si>
  <si>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</si>
  <si>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</si>
  <si>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</si>
  <si>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</si>
  <si>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</si>
  <si>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</si>
  <si>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</si>
  <si>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</si>
  <si>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</si>
  <si>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</si>
  <si>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28-JAN</t>
  </si>
  <si>
    <t>15-FEB</t>
  </si>
  <si>
    <t>3-MAR</t>
  </si>
  <si>
    <t>11-APR</t>
  </si>
  <si>
    <t>22-MAY</t>
  </si>
  <si>
    <t>7-JUN</t>
  </si>
  <si>
    <t>19-JUL</t>
  </si>
  <si>
    <t>23-AUG</t>
  </si>
  <si>
    <t>5-SEP</t>
  </si>
  <si>
    <t>14-OCT</t>
  </si>
  <si>
    <t>17-JUN</t>
  </si>
  <si>
    <t>25-NOV</t>
  </si>
  <si>
    <t>8-DEC</t>
  </si>
  <si>
    <t>18-FEB</t>
  </si>
  <si>
    <t>16-APR</t>
  </si>
  <si>
    <t>21-AUG</t>
  </si>
  <si>
    <t>20-AUG</t>
  </si>
  <si>
    <t>27-JAN</t>
  </si>
  <si>
    <t>1-MAR</t>
  </si>
  <si>
    <t>14-AUG</t>
  </si>
  <si>
    <t>14-MAY</t>
  </si>
  <si>
    <t>9-JAN</t>
  </si>
  <si>
    <t>29-SEP</t>
  </si>
  <si>
    <t>3-JUN</t>
  </si>
  <si>
    <t>11-JUL</t>
  </si>
  <si>
    <t>7-MAR</t>
  </si>
  <si>
    <t>13-APR</t>
  </si>
  <si>
    <t>24-MAY</t>
  </si>
  <si>
    <t>2-DEC</t>
  </si>
  <si>
    <t>9-JUL</t>
  </si>
  <si>
    <t xml:space="preserve">Manufacturing date </t>
  </si>
  <si>
    <t>Country Code</t>
  </si>
  <si>
    <t>Product Brand</t>
  </si>
  <si>
    <t>Laptop-Dell</t>
  </si>
  <si>
    <t>Sneakers-Nike</t>
  </si>
  <si>
    <t>Coffee Maker-Keurig</t>
  </si>
  <si>
    <t>Smartphone-Samsung</t>
  </si>
  <si>
    <t>Backpack-North Face</t>
  </si>
  <si>
    <t>Headphones-Sony</t>
  </si>
  <si>
    <t>T-Shirt-Adidas</t>
  </si>
  <si>
    <t>Blender-Ninja</t>
  </si>
  <si>
    <t>Tablet-Apple</t>
  </si>
  <si>
    <t>Hiking Boots-Timberland</t>
  </si>
  <si>
    <t>Laptop-HP</t>
  </si>
  <si>
    <t>Sneakers-Adidas</t>
  </si>
  <si>
    <t>Coffee Maker-Nespresso</t>
  </si>
  <si>
    <t>Smartwatch-Fitbit</t>
  </si>
  <si>
    <t>Headphones-Bose</t>
  </si>
  <si>
    <t>Laptop Bag-Samsonite</t>
  </si>
  <si>
    <t>Smartwatch-Huawei</t>
  </si>
  <si>
    <t>Laptop-Asus</t>
  </si>
  <si>
    <t>Sunglasses-Oakley</t>
  </si>
  <si>
    <t>Camping Tent-Coleman</t>
  </si>
  <si>
    <t>Camera-Nikon</t>
  </si>
  <si>
    <t>Microwave-Panasonic</t>
  </si>
  <si>
    <t>Fitness Tracker-Xiaomi</t>
  </si>
  <si>
    <t>Smartphone-Google</t>
  </si>
  <si>
    <t>Sunglasses-Ray-Ban</t>
  </si>
  <si>
    <t>Blender-Vitamix</t>
  </si>
  <si>
    <t>Dress-Zara</t>
  </si>
  <si>
    <t>Toaster-Hamilton</t>
  </si>
  <si>
    <t>Fitness Tracker-Garmin</t>
  </si>
  <si>
    <t>Jeans-Levi's</t>
  </si>
  <si>
    <t>Watch-Casio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</si>
</sst>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[$-14009]dd\-mm\-yyyy;@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NumberFormat="1"/>
    <xf numFmtId="0" fontId="10" fillId="0" borderId="0" xfId="0" applyFont="1"/>
    <xf numFmtId="14" fontId="0" fillId="0" borderId="0" xfId="0" applyNumberFormat="1"/>
    <xf numFmtId="165" fontId="10" fillId="0" borderId="0" xfId="0" applyNumberFormat="1" applyFont="1"/>
    <xf numFmtId="165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5" formatCode="[$-14009]dd\-mm\-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C39639E-BE16-4110-83BA-A2A682B974D2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 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08BD18F-FCA4-4837-B261-854BA53F1A22}" autoFormatId="16" applyNumberFormats="0" applyBorderFormats="0" applyFontFormats="0" applyPatternFormats="0" applyAlignmentFormats="0" applyWidthHeightFormats="0">
  <queryTableRefresh nextId="8">
    <queryTableFields count="7">
      <queryTableField id="1" name="Product ID" tableColumnId="1"/>
      <queryTableField id="2" name="Column2" tableColumnId="2"/>
      <queryTableField id="3" name="Product Name" tableColumnId="3"/>
      <queryTableField id="4" name="Brand Name" tableColumnId="4"/>
      <queryTableField id="5" name="Price ($)" tableColumnId="5"/>
      <queryTableField id="6" name="Quantity" tableColumnId="6"/>
      <queryTableField id="7" name="Category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B24985B-EFFD-4838-B7B4-2FB6DBB31302}" autoFormatId="16" applyNumberFormats="0" applyBorderFormats="0" applyFontFormats="0" applyPatternFormats="0" applyAlignmentFormats="0" applyWidthHeightFormats="0">
  <queryTableRefresh nextId="9">
    <queryTableFields count="8">
      <queryTableField id="1" name="Product ID" tableColumnId="1"/>
      <queryTableField id="8" dataBound="0" tableColumnId="8"/>
      <queryTableField id="7" dataBound="0" tableColumnId="7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C89A42-F0E6-4B14-AECB-33AEE2520ED8}" name="Table1_4" displayName="Table1_4" ref="A1:F35" tableType="queryTable" totalsRowShown="0">
  <autoFilter ref="A1:F35" xr:uid="{0CC89A42-F0E6-4B14-AECB-33AEE2520ED8}"/>
  <tableColumns count="6">
    <tableColumn id="1" xr3:uid="{9ABF0F66-B66C-46D4-BA2E-CE0C047EC483}" uniqueName="1" name="Manufacturing date " queryTableFieldId="1" dataDxfId="4"/>
    <tableColumn id="2" xr3:uid="{CC75313C-6C7E-480E-A2BB-479568BCBE05}" uniqueName="2" name="Country Code" queryTableFieldId="2" dataDxfId="3"/>
    <tableColumn id="3" xr3:uid="{5C06AF61-2E3D-464D-8D84-2841B9DAD04A}" uniqueName="3" name="Product Brand" queryTableFieldId="3" dataDxfId="1"/>
    <tableColumn id="4" xr3:uid="{9694F8FF-92A1-4CC8-A8F4-0F52264F1419}" uniqueName="4" name="Price ($)" queryTableFieldId="4" dataCellStyle="Currency"/>
    <tableColumn id="5" xr3:uid="{5A238643-62A9-47B7-845B-C851360B28C2}" uniqueName="5" name="Quantity" queryTableFieldId="5"/>
    <tableColumn id="6" xr3:uid="{65408510-4792-4CC4-BF26-5B77119CBB0C}" uniqueName="6" name="Category" queryTableFieldId="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69095D-9C9E-42A1-A433-CEDBC1ABF1C7}" name="Table1_3" displayName="Table1_3" ref="A1:G35" tableType="queryTable" totalsRowShown="0">
  <autoFilter ref="A1:G35" xr:uid="{D869095D-9C9E-42A1-A433-CEDBC1ABF1C7}"/>
  <tableColumns count="7">
    <tableColumn id="1" xr3:uid="{152B80F4-B5F4-4667-845D-D59E9A1CD348}" uniqueName="1" name="Manufacturing date " queryTableFieldId="1" dataDxfId="5"/>
    <tableColumn id="2" xr3:uid="{C34A65EB-6E14-44EA-A6E6-F5B64E864600}" uniqueName="2" name="Country Code" queryTableFieldId="2" dataDxfId="9"/>
    <tableColumn id="3" xr3:uid="{BDBF5A61-F00F-4808-A6CD-E54199C31D3B}" uniqueName="3" name="Product Name" queryTableFieldId="3" dataDxfId="8"/>
    <tableColumn id="4" xr3:uid="{D4067810-7230-4E81-BFF7-021D7E83FE3D}" uniqueName="4" name="Brand Name" queryTableFieldId="4" dataDxfId="7"/>
    <tableColumn id="5" xr3:uid="{789B94CD-DC8E-4CEE-B329-33AC43E6DE42}" uniqueName="5" name="Price ($)" queryTableFieldId="5"/>
    <tableColumn id="6" xr3:uid="{83318C36-0896-4ADB-AEA0-782D5F186A54}" uniqueName="6" name="Quantity" queryTableFieldId="6"/>
    <tableColumn id="7" xr3:uid="{12286CB6-F861-42B9-89EE-F7E2CB3F8709}" uniqueName="7" name="Category" queryTableFieldId="7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F62075-6766-4E28-8022-D12A5F457290}" name="Table1_2" displayName="Table1_2" ref="A1:H35" tableType="queryTable" totalsRowShown="0">
  <autoFilter ref="A1:H35" xr:uid="{69F62075-6766-4E28-8022-D12A5F457290}"/>
  <tableColumns count="8">
    <tableColumn id="1" xr3:uid="{F4BBA186-2A27-4055-9C34-F3476DBFAA1D}" uniqueName="1" name="Product ID" queryTableFieldId="1" dataDxfId="11"/>
    <tableColumn id="8" xr3:uid="{6C19732D-E83F-47B0-9791-EB6EEB2DA6F2}" uniqueName="8" name="0" queryTableFieldId="8" dataDxfId="10"/>
    <tableColumn id="7" xr3:uid="{2D367722-10F6-4506-84CA-61A7455C4F0C}" uniqueName="7" name="Column2" queryTableFieldId="7" dataDxfId="12"/>
    <tableColumn id="2" xr3:uid="{049D85B3-0E43-4850-9AE5-BF8CF86012F3}" uniqueName="2" name="Product Name" queryTableFieldId="2" dataDxfId="15"/>
    <tableColumn id="3" xr3:uid="{B9DF8FD4-84D0-4CA6-B3D8-4F9F5B20E302}" uniqueName="3" name="Brand Name" queryTableFieldId="3" dataDxfId="14"/>
    <tableColumn id="4" xr3:uid="{E5F31F33-125D-4B14-AAEC-8AD086F27100}" uniqueName="4" name="Price ($)" queryTableFieldId="4"/>
    <tableColumn id="5" xr3:uid="{33AB6794-D383-494F-B28F-03A8C45A467C}" uniqueName="5" name="Quantity" queryTableFieldId="5"/>
    <tableColumn id="6" xr3:uid="{6440F2AA-691F-4B2D-B77C-79DAE14BE54E}" uniqueName="6" name="Category" queryTableFieldId="6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EF04A-78B5-4811-9384-2FAC54C3B37E}" name="Table1_1" displayName="Table1_1" ref="A1:G35" totalsRowShown="0">
  <autoFilter ref="A1:G35" xr:uid="{A9FEF04A-78B5-4811-9384-2FAC54C3B37E}"/>
  <tableColumns count="7">
    <tableColumn id="1" xr3:uid="{75D018A6-16DA-44DE-8AA4-DD5C84A0E9AA}" name="Product ID" dataDxfId="20"/>
    <tableColumn id="2" xr3:uid="{9DE145C3-B6D7-45E2-BC3A-5C9974E7E0A4}" name="Product Name" dataDxfId="19"/>
    <tableColumn id="3" xr3:uid="{70719A8A-0EE8-492E-976E-5E45EA7692BD}" name="Brand Name" dataDxfId="18"/>
    <tableColumn id="4" xr3:uid="{48575066-E8A9-4B67-B13B-BFFDD8B1CB15}" name="Price ($)"/>
    <tableColumn id="5" xr3:uid="{70FEF827-2521-44C3-A2A7-E11357CAE8AD}" name="Quantity"/>
    <tableColumn id="6" xr3:uid="{662D98D7-AF08-4E1B-A4F8-C836B8ADAEB4}" name="Category" dataDxfId="17"/>
    <tableColumn id="7" xr3:uid="{2486CA93-F853-4EDB-B5AE-4D5D1F803F0E}" name="Column1" dataDxfId="16">
      <calculatedColumnFormula>MODE(F:F)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DF13C-E26B-4FE6-84EC-568D6819921B}" name="Table1" displayName="Table1" ref="A1:F35" totalsRowShown="0" headerRowDxfId="21" dataDxfId="22">
  <autoFilter ref="A1:F35" xr:uid="{8A0DF13C-E26B-4FE6-84EC-568D6819921B}"/>
  <tableColumns count="6">
    <tableColumn id="1" xr3:uid="{5FBF5A99-5EF2-4E3D-9B50-3235E1000E51}" name="Product ID" dataDxfId="28"/>
    <tableColumn id="2" xr3:uid="{5CBF31FE-D58C-42D8-8230-DF71E05C6DBA}" name="Product Name" dataDxfId="27"/>
    <tableColumn id="3" xr3:uid="{A3E12521-E167-474E-B68E-FB746CA0C732}" name="Brand Name" dataDxfId="26"/>
    <tableColumn id="4" xr3:uid="{5C03EA8A-8C85-46E9-AD8B-E9880785BC01}" name="Price ($)" dataDxfId="25"/>
    <tableColumn id="5" xr3:uid="{75E31439-048E-4D7C-9AAA-97850C661333}" name="Quantity" dataDxfId="24"/>
    <tableColumn id="6" xr3:uid="{1BEF9A98-DC22-4447-9710-EC2D5B21DF6C}" name="Category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10F4-A335-438F-9553-9C9A6E5FCD68}">
  <dimension ref="A1:F35"/>
  <sheetViews>
    <sheetView tabSelected="1" workbookViewId="0">
      <selection activeCell="H18" sqref="H18"/>
    </sheetView>
  </sheetViews>
  <sheetFormatPr defaultRowHeight="12.5" x14ac:dyDescent="0.25"/>
  <cols>
    <col min="1" max="1" width="20.54296875" bestFit="1" customWidth="1"/>
    <col min="2" max="2" width="15" bestFit="1" customWidth="1"/>
    <col min="3" max="3" width="21.26953125" bestFit="1" customWidth="1"/>
    <col min="4" max="4" width="10.26953125" style="14" bestFit="1" customWidth="1"/>
    <col min="5" max="5" width="10.453125" bestFit="1" customWidth="1"/>
    <col min="6" max="6" width="10.90625" bestFit="1" customWidth="1"/>
  </cols>
  <sheetData>
    <row r="1" spans="1:6" x14ac:dyDescent="0.25">
      <c r="A1" t="s">
        <v>178</v>
      </c>
      <c r="B1" t="s">
        <v>179</v>
      </c>
      <c r="C1" t="s">
        <v>180</v>
      </c>
      <c r="D1" s="14" t="s">
        <v>22</v>
      </c>
      <c r="E1" t="s">
        <v>23</v>
      </c>
      <c r="F1" t="s">
        <v>24</v>
      </c>
    </row>
    <row r="2" spans="1:6" x14ac:dyDescent="0.25">
      <c r="A2" s="11">
        <v>46050</v>
      </c>
      <c r="B2" s="9" t="s">
        <v>125</v>
      </c>
      <c r="C2" s="9" t="s">
        <v>181</v>
      </c>
      <c r="D2" s="14">
        <v>1000</v>
      </c>
      <c r="E2">
        <v>30</v>
      </c>
      <c r="F2" s="9" t="s">
        <v>28</v>
      </c>
    </row>
    <row r="3" spans="1:6" x14ac:dyDescent="0.25">
      <c r="A3" s="11">
        <v>46068</v>
      </c>
      <c r="B3" s="9" t="s">
        <v>125</v>
      </c>
      <c r="C3" s="9" t="s">
        <v>182</v>
      </c>
      <c r="D3" s="14">
        <v>80</v>
      </c>
      <c r="E3">
        <v>15</v>
      </c>
      <c r="F3" s="9" t="s">
        <v>32</v>
      </c>
    </row>
    <row r="4" spans="1:6" x14ac:dyDescent="0.25">
      <c r="A4" s="11">
        <v>46084</v>
      </c>
      <c r="B4" s="9" t="s">
        <v>125</v>
      </c>
      <c r="C4" s="9" t="s">
        <v>183</v>
      </c>
      <c r="D4" s="14">
        <v>130</v>
      </c>
      <c r="E4">
        <v>40</v>
      </c>
      <c r="F4" s="9" t="s">
        <v>36</v>
      </c>
    </row>
    <row r="5" spans="1:6" x14ac:dyDescent="0.25">
      <c r="A5" s="11">
        <v>46123</v>
      </c>
      <c r="B5" s="9" t="s">
        <v>125</v>
      </c>
      <c r="C5" s="9" t="s">
        <v>184</v>
      </c>
      <c r="D5" s="14">
        <v>900</v>
      </c>
      <c r="E5">
        <v>25</v>
      </c>
      <c r="F5" s="9" t="s">
        <v>28</v>
      </c>
    </row>
    <row r="6" spans="1:6" x14ac:dyDescent="0.25">
      <c r="A6" s="11">
        <v>46164</v>
      </c>
      <c r="B6" s="9" t="s">
        <v>125</v>
      </c>
      <c r="C6" s="9" t="s">
        <v>185</v>
      </c>
      <c r="D6" s="14">
        <v>70</v>
      </c>
      <c r="E6">
        <v>20</v>
      </c>
      <c r="F6" s="9" t="s">
        <v>75</v>
      </c>
    </row>
    <row r="7" spans="1:6" x14ac:dyDescent="0.25">
      <c r="A7" s="11">
        <v>46180</v>
      </c>
      <c r="B7" s="9" t="s">
        <v>131</v>
      </c>
      <c r="C7" s="9" t="s">
        <v>186</v>
      </c>
      <c r="D7" s="14">
        <v>309</v>
      </c>
      <c r="E7">
        <v>45</v>
      </c>
      <c r="F7" s="9" t="s">
        <v>28</v>
      </c>
    </row>
    <row r="8" spans="1:6" x14ac:dyDescent="0.25">
      <c r="A8" s="11">
        <v>46222</v>
      </c>
      <c r="B8" s="9" t="s">
        <v>131</v>
      </c>
      <c r="C8" s="9" t="s">
        <v>187</v>
      </c>
      <c r="D8" s="14">
        <v>30</v>
      </c>
      <c r="E8">
        <v>5</v>
      </c>
      <c r="F8" s="9" t="s">
        <v>32</v>
      </c>
    </row>
    <row r="9" spans="1:6" x14ac:dyDescent="0.25">
      <c r="A9" s="11">
        <v>46257</v>
      </c>
      <c r="B9" s="9" t="s">
        <v>131</v>
      </c>
      <c r="C9" s="9" t="s">
        <v>188</v>
      </c>
      <c r="D9" s="14">
        <v>90</v>
      </c>
      <c r="E9">
        <v>35</v>
      </c>
      <c r="F9" s="9" t="s">
        <v>36</v>
      </c>
    </row>
    <row r="10" spans="1:6" x14ac:dyDescent="0.25">
      <c r="A10" s="11">
        <v>46270</v>
      </c>
      <c r="B10" s="9" t="s">
        <v>131</v>
      </c>
      <c r="C10" s="9" t="s">
        <v>189</v>
      </c>
      <c r="D10" s="14">
        <v>500</v>
      </c>
      <c r="E10">
        <v>50</v>
      </c>
      <c r="F10" s="9" t="s">
        <v>28</v>
      </c>
    </row>
    <row r="11" spans="1:6" x14ac:dyDescent="0.25">
      <c r="A11" s="11">
        <v>46309</v>
      </c>
      <c r="B11" s="9" t="s">
        <v>131</v>
      </c>
      <c r="C11" s="9" t="s">
        <v>190</v>
      </c>
      <c r="D11" s="14">
        <v>130</v>
      </c>
      <c r="E11">
        <v>10</v>
      </c>
      <c r="F11" s="9" t="s">
        <v>59</v>
      </c>
    </row>
    <row r="12" spans="1:6" x14ac:dyDescent="0.25">
      <c r="A12" s="11">
        <v>46190</v>
      </c>
      <c r="B12" s="9" t="s">
        <v>136</v>
      </c>
      <c r="C12" s="9" t="s">
        <v>191</v>
      </c>
      <c r="D12" s="14">
        <v>950</v>
      </c>
      <c r="E12">
        <v>25</v>
      </c>
      <c r="F12" s="9" t="s">
        <v>28</v>
      </c>
    </row>
    <row r="13" spans="1:6" x14ac:dyDescent="0.25">
      <c r="A13" s="11">
        <v>46351</v>
      </c>
      <c r="B13" s="9" t="s">
        <v>138</v>
      </c>
      <c r="C13" s="9" t="s">
        <v>192</v>
      </c>
      <c r="D13" s="14">
        <v>90</v>
      </c>
      <c r="E13">
        <v>40</v>
      </c>
      <c r="F13" s="9" t="s">
        <v>32</v>
      </c>
    </row>
    <row r="14" spans="1:6" x14ac:dyDescent="0.25">
      <c r="A14" s="11">
        <v>46364</v>
      </c>
      <c r="B14" s="9" t="s">
        <v>140</v>
      </c>
      <c r="C14" s="9" t="s">
        <v>193</v>
      </c>
      <c r="D14" s="14">
        <v>120</v>
      </c>
      <c r="E14">
        <v>35</v>
      </c>
      <c r="F14" s="9" t="s">
        <v>28</v>
      </c>
    </row>
    <row r="15" spans="1:6" x14ac:dyDescent="0.25">
      <c r="A15" s="11">
        <v>46071</v>
      </c>
      <c r="B15" s="9" t="s">
        <v>141</v>
      </c>
      <c r="C15" s="9" t="s">
        <v>194</v>
      </c>
      <c r="D15" s="14">
        <v>150</v>
      </c>
      <c r="E15">
        <v>15</v>
      </c>
      <c r="F15" s="9" t="s">
        <v>28</v>
      </c>
    </row>
    <row r="16" spans="1:6" x14ac:dyDescent="0.25">
      <c r="A16" s="11">
        <v>46128</v>
      </c>
      <c r="B16" s="9" t="s">
        <v>142</v>
      </c>
      <c r="C16" s="9" t="s">
        <v>195</v>
      </c>
      <c r="D16" s="14">
        <v>250</v>
      </c>
      <c r="E16">
        <v>20</v>
      </c>
      <c r="F16" s="9" t="s">
        <v>28</v>
      </c>
    </row>
    <row r="17" spans="1:6" x14ac:dyDescent="0.25">
      <c r="A17" s="11">
        <v>46255</v>
      </c>
      <c r="B17" s="9" t="s">
        <v>141</v>
      </c>
      <c r="C17" s="9" t="s">
        <v>196</v>
      </c>
      <c r="D17" s="14">
        <v>50</v>
      </c>
      <c r="E17">
        <v>35</v>
      </c>
      <c r="F17" s="9" t="s">
        <v>75</v>
      </c>
    </row>
    <row r="18" spans="1:6" x14ac:dyDescent="0.25">
      <c r="A18" s="11">
        <v>46254</v>
      </c>
      <c r="B18" s="9" t="s">
        <v>143</v>
      </c>
      <c r="C18" s="9" t="s">
        <v>197</v>
      </c>
      <c r="D18" s="14">
        <v>160</v>
      </c>
      <c r="E18">
        <v>15</v>
      </c>
      <c r="F18" s="9" t="s">
        <v>28</v>
      </c>
    </row>
    <row r="19" spans="1:6" x14ac:dyDescent="0.25">
      <c r="A19" s="11">
        <v>46049</v>
      </c>
      <c r="B19" s="9" t="s">
        <v>144</v>
      </c>
      <c r="C19" s="9" t="s">
        <v>198</v>
      </c>
      <c r="D19" s="14">
        <v>980</v>
      </c>
      <c r="E19">
        <v>10</v>
      </c>
      <c r="F19" s="9" t="s">
        <v>28</v>
      </c>
    </row>
    <row r="20" spans="1:6" x14ac:dyDescent="0.25">
      <c r="A20" s="11">
        <v>46082</v>
      </c>
      <c r="B20" s="9" t="s">
        <v>131</v>
      </c>
      <c r="C20" s="9" t="s">
        <v>199</v>
      </c>
      <c r="D20" s="14">
        <v>150</v>
      </c>
      <c r="E20">
        <v>15</v>
      </c>
      <c r="F20" s="9" t="s">
        <v>32</v>
      </c>
    </row>
    <row r="21" spans="1:6" x14ac:dyDescent="0.25">
      <c r="A21" s="11">
        <v>46248</v>
      </c>
      <c r="B21" s="9" t="s">
        <v>125</v>
      </c>
      <c r="C21" s="9" t="s">
        <v>200</v>
      </c>
      <c r="D21" s="14">
        <v>309</v>
      </c>
      <c r="E21">
        <v>10</v>
      </c>
      <c r="F21" s="9" t="s">
        <v>59</v>
      </c>
    </row>
    <row r="22" spans="1:6" x14ac:dyDescent="0.25">
      <c r="A22" s="11">
        <v>46156</v>
      </c>
      <c r="B22" s="9" t="s">
        <v>145</v>
      </c>
      <c r="C22" s="9" t="s">
        <v>201</v>
      </c>
      <c r="D22" s="14">
        <v>700</v>
      </c>
      <c r="E22">
        <v>50</v>
      </c>
      <c r="F22" s="9" t="s">
        <v>28</v>
      </c>
    </row>
    <row r="23" spans="1:6" x14ac:dyDescent="0.25">
      <c r="A23" s="11">
        <v>46031</v>
      </c>
      <c r="B23" s="9" t="s">
        <v>141</v>
      </c>
      <c r="C23" s="9" t="s">
        <v>202</v>
      </c>
      <c r="D23" s="14">
        <v>80</v>
      </c>
      <c r="E23">
        <v>20</v>
      </c>
      <c r="F23" s="9" t="s">
        <v>36</v>
      </c>
    </row>
    <row r="24" spans="1:6" x14ac:dyDescent="0.25">
      <c r="A24" s="11">
        <v>46222</v>
      </c>
      <c r="B24" s="9" t="s">
        <v>146</v>
      </c>
      <c r="C24" s="9" t="s">
        <v>203</v>
      </c>
      <c r="D24" s="14">
        <v>150</v>
      </c>
      <c r="E24">
        <v>30</v>
      </c>
      <c r="F24" s="9" t="s">
        <v>28</v>
      </c>
    </row>
    <row r="25" spans="1:6" x14ac:dyDescent="0.25">
      <c r="A25" s="11">
        <v>46255</v>
      </c>
      <c r="B25" s="9" t="s">
        <v>141</v>
      </c>
      <c r="C25" s="9" t="s">
        <v>196</v>
      </c>
      <c r="D25" s="14">
        <v>50</v>
      </c>
      <c r="E25">
        <v>35</v>
      </c>
      <c r="F25" s="9" t="s">
        <v>75</v>
      </c>
    </row>
    <row r="26" spans="1:6" x14ac:dyDescent="0.25">
      <c r="A26" s="11">
        <v>46294</v>
      </c>
      <c r="B26" s="9" t="s">
        <v>141</v>
      </c>
      <c r="C26" s="9" t="s">
        <v>204</v>
      </c>
      <c r="D26" s="14">
        <v>800</v>
      </c>
      <c r="E26">
        <v>45</v>
      </c>
      <c r="F26" s="9" t="s">
        <v>28</v>
      </c>
    </row>
    <row r="27" spans="1:6" x14ac:dyDescent="0.25">
      <c r="A27" s="11">
        <v>46176</v>
      </c>
      <c r="B27" s="9" t="s">
        <v>141</v>
      </c>
      <c r="C27" s="9" t="s">
        <v>205</v>
      </c>
      <c r="D27" s="14">
        <v>309</v>
      </c>
      <c r="E27">
        <v>25</v>
      </c>
      <c r="F27" s="9" t="s">
        <v>32</v>
      </c>
    </row>
    <row r="28" spans="1:6" x14ac:dyDescent="0.25">
      <c r="A28" s="11">
        <v>46214</v>
      </c>
      <c r="B28" s="9" t="s">
        <v>141</v>
      </c>
      <c r="C28" s="9" t="s">
        <v>206</v>
      </c>
      <c r="D28" s="14">
        <v>400</v>
      </c>
      <c r="E28">
        <v>40</v>
      </c>
      <c r="F28" s="9" t="s">
        <v>36</v>
      </c>
    </row>
    <row r="29" spans="1:6" x14ac:dyDescent="0.25">
      <c r="A29" s="11">
        <v>46128</v>
      </c>
      <c r="B29" s="9" t="s">
        <v>142</v>
      </c>
      <c r="C29" s="9" t="s">
        <v>195</v>
      </c>
      <c r="D29" s="14">
        <v>250</v>
      </c>
      <c r="E29">
        <v>20</v>
      </c>
      <c r="F29" s="9" t="s">
        <v>28</v>
      </c>
    </row>
    <row r="30" spans="1:6" x14ac:dyDescent="0.25">
      <c r="A30" s="11">
        <v>46088</v>
      </c>
      <c r="B30" s="9" t="s">
        <v>141</v>
      </c>
      <c r="C30" s="9" t="s">
        <v>207</v>
      </c>
      <c r="D30" s="14">
        <v>60</v>
      </c>
      <c r="E30">
        <v>30</v>
      </c>
      <c r="F30" s="9" t="s">
        <v>32</v>
      </c>
    </row>
    <row r="31" spans="1:6" x14ac:dyDescent="0.25">
      <c r="A31" s="11">
        <v>46125</v>
      </c>
      <c r="B31" s="9" t="s">
        <v>141</v>
      </c>
      <c r="C31" s="9" t="s">
        <v>208</v>
      </c>
      <c r="D31" s="14">
        <v>40</v>
      </c>
      <c r="E31">
        <v>10</v>
      </c>
      <c r="F31" s="9" t="s">
        <v>36</v>
      </c>
    </row>
    <row r="32" spans="1:6" x14ac:dyDescent="0.25">
      <c r="A32" s="11">
        <v>46166</v>
      </c>
      <c r="B32" s="9" t="s">
        <v>141</v>
      </c>
      <c r="C32" s="9" t="s">
        <v>209</v>
      </c>
      <c r="D32" s="14">
        <v>130</v>
      </c>
      <c r="E32">
        <v>5</v>
      </c>
      <c r="F32" s="9" t="s">
        <v>28</v>
      </c>
    </row>
    <row r="33" spans="1:6" x14ac:dyDescent="0.25">
      <c r="A33" s="11">
        <v>46358</v>
      </c>
      <c r="B33" s="9" t="s">
        <v>141</v>
      </c>
      <c r="C33" s="9" t="s">
        <v>210</v>
      </c>
      <c r="D33" s="14">
        <v>50</v>
      </c>
      <c r="E33">
        <v>50</v>
      </c>
      <c r="F33" s="9" t="s">
        <v>32</v>
      </c>
    </row>
    <row r="34" spans="1:6" x14ac:dyDescent="0.25">
      <c r="A34" s="11">
        <v>46190</v>
      </c>
      <c r="B34" s="9" t="s">
        <v>136</v>
      </c>
      <c r="C34" s="9" t="s">
        <v>191</v>
      </c>
      <c r="D34" s="14">
        <v>950</v>
      </c>
      <c r="E34">
        <v>25</v>
      </c>
      <c r="F34" s="9" t="s">
        <v>28</v>
      </c>
    </row>
    <row r="35" spans="1:6" x14ac:dyDescent="0.25">
      <c r="A35" s="11">
        <v>46212</v>
      </c>
      <c r="B35" s="9" t="s">
        <v>147</v>
      </c>
      <c r="C35" s="9" t="s">
        <v>211</v>
      </c>
      <c r="D35" s="14">
        <v>100</v>
      </c>
      <c r="E35">
        <v>20</v>
      </c>
      <c r="F35" s="9" t="s">
        <v>75</v>
      </c>
    </row>
  </sheetData>
  <conditionalFormatting sqref="D1:D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{6713D5EF-508C-4D81-B639-60B1809D8134}</x14:id>
        </ext>
      </extLst>
    </cfRule>
  </conditionalFormatting>
  <conditionalFormatting sqref="F1:F1048576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13D5EF-508C-4D81-B639-60B1809D81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C7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F35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0463-0555-4B5B-8E4F-9FE0185F230F}">
  <dimension ref="A1:G35"/>
  <sheetViews>
    <sheetView workbookViewId="0">
      <selection activeCell="B17" sqref="A2:G35"/>
    </sheetView>
  </sheetViews>
  <sheetFormatPr defaultRowHeight="12.5" x14ac:dyDescent="0.25"/>
  <cols>
    <col min="1" max="1" width="20.54296875" style="13" bestFit="1" customWidth="1"/>
    <col min="2" max="2" width="15" bestFit="1" customWidth="1"/>
    <col min="3" max="3" width="15.36328125" bestFit="1" customWidth="1"/>
    <col min="4" max="4" width="13.6328125" bestFit="1" customWidth="1"/>
    <col min="5" max="5" width="10.26953125" bestFit="1" customWidth="1"/>
    <col min="6" max="6" width="10.453125" bestFit="1" customWidth="1"/>
    <col min="7" max="7" width="10.90625" bestFit="1" customWidth="1"/>
  </cols>
  <sheetData>
    <row r="1" spans="1:7" x14ac:dyDescent="0.25">
      <c r="A1" s="12" t="s">
        <v>178</v>
      </c>
      <c r="B1" s="10" t="s">
        <v>179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s="13" t="s">
        <v>148</v>
      </c>
      <c r="B2" s="9" t="s">
        <v>125</v>
      </c>
      <c r="C2" s="9" t="s">
        <v>61</v>
      </c>
      <c r="D2" s="9" t="s">
        <v>27</v>
      </c>
      <c r="E2">
        <v>1000</v>
      </c>
      <c r="F2">
        <v>30</v>
      </c>
      <c r="G2" s="9" t="s">
        <v>28</v>
      </c>
    </row>
    <row r="3" spans="1:7" x14ac:dyDescent="0.25">
      <c r="A3" s="13" t="s">
        <v>149</v>
      </c>
      <c r="B3" s="9" t="s">
        <v>125</v>
      </c>
      <c r="C3" s="9" t="s">
        <v>30</v>
      </c>
      <c r="D3" s="9" t="s">
        <v>31</v>
      </c>
      <c r="E3">
        <v>80</v>
      </c>
      <c r="F3">
        <v>15</v>
      </c>
      <c r="G3" s="9" t="s">
        <v>32</v>
      </c>
    </row>
    <row r="4" spans="1:7" x14ac:dyDescent="0.25">
      <c r="A4" s="13" t="s">
        <v>150</v>
      </c>
      <c r="B4" s="9" t="s">
        <v>125</v>
      </c>
      <c r="C4" s="9" t="s">
        <v>34</v>
      </c>
      <c r="D4" s="9" t="s">
        <v>35</v>
      </c>
      <c r="E4">
        <v>130</v>
      </c>
      <c r="F4">
        <v>40</v>
      </c>
      <c r="G4" s="9" t="s">
        <v>36</v>
      </c>
    </row>
    <row r="5" spans="1:7" x14ac:dyDescent="0.25">
      <c r="A5" s="13" t="s">
        <v>151</v>
      </c>
      <c r="B5" s="9" t="s">
        <v>125</v>
      </c>
      <c r="C5" s="9" t="s">
        <v>96</v>
      </c>
      <c r="D5" s="9" t="s">
        <v>39</v>
      </c>
      <c r="E5">
        <v>900</v>
      </c>
      <c r="F5">
        <v>25</v>
      </c>
      <c r="G5" s="9" t="s">
        <v>28</v>
      </c>
    </row>
    <row r="6" spans="1:7" x14ac:dyDescent="0.25">
      <c r="A6" s="13" t="s">
        <v>152</v>
      </c>
      <c r="B6" s="9" t="s">
        <v>125</v>
      </c>
      <c r="C6" s="9" t="s">
        <v>41</v>
      </c>
      <c r="D6" s="9" t="s">
        <v>42</v>
      </c>
      <c r="E6">
        <v>70</v>
      </c>
      <c r="F6">
        <v>20</v>
      </c>
      <c r="G6" s="9" t="s">
        <v>75</v>
      </c>
    </row>
    <row r="7" spans="1:7" x14ac:dyDescent="0.25">
      <c r="A7" s="13" t="s">
        <v>153</v>
      </c>
      <c r="B7" s="9" t="s">
        <v>131</v>
      </c>
      <c r="C7" s="9" t="s">
        <v>44</v>
      </c>
      <c r="D7" s="9" t="s">
        <v>45</v>
      </c>
      <c r="E7">
        <v>309</v>
      </c>
      <c r="F7">
        <v>45</v>
      </c>
      <c r="G7" s="9" t="s">
        <v>28</v>
      </c>
    </row>
    <row r="8" spans="1:7" x14ac:dyDescent="0.25">
      <c r="A8" s="13" t="s">
        <v>154</v>
      </c>
      <c r="B8" s="9" t="s">
        <v>131</v>
      </c>
      <c r="C8" s="9" t="s">
        <v>121</v>
      </c>
      <c r="D8" s="9" t="s">
        <v>49</v>
      </c>
      <c r="E8">
        <v>30</v>
      </c>
      <c r="F8">
        <v>5</v>
      </c>
      <c r="G8" s="9" t="s">
        <v>32</v>
      </c>
    </row>
    <row r="9" spans="1:7" x14ac:dyDescent="0.25">
      <c r="A9" s="13" t="s">
        <v>155</v>
      </c>
      <c r="B9" s="9" t="s">
        <v>131</v>
      </c>
      <c r="C9" s="9" t="s">
        <v>51</v>
      </c>
      <c r="D9" s="9" t="s">
        <v>52</v>
      </c>
      <c r="E9">
        <v>90</v>
      </c>
      <c r="F9">
        <v>35</v>
      </c>
      <c r="G9" s="9" t="s">
        <v>36</v>
      </c>
    </row>
    <row r="10" spans="1:7" x14ac:dyDescent="0.25">
      <c r="A10" s="13" t="s">
        <v>156</v>
      </c>
      <c r="B10" s="9" t="s">
        <v>131</v>
      </c>
      <c r="C10" s="9" t="s">
        <v>54</v>
      </c>
      <c r="D10" s="9" t="s">
        <v>55</v>
      </c>
      <c r="E10">
        <v>500</v>
      </c>
      <c r="F10">
        <v>50</v>
      </c>
      <c r="G10" s="9" t="s">
        <v>28</v>
      </c>
    </row>
    <row r="11" spans="1:7" x14ac:dyDescent="0.25">
      <c r="A11" s="13" t="s">
        <v>157</v>
      </c>
      <c r="B11" s="9" t="s">
        <v>131</v>
      </c>
      <c r="C11" s="9" t="s">
        <v>57</v>
      </c>
      <c r="D11" s="9" t="s">
        <v>58</v>
      </c>
      <c r="E11">
        <v>130</v>
      </c>
      <c r="F11">
        <v>10</v>
      </c>
      <c r="G11" s="9" t="s">
        <v>59</v>
      </c>
    </row>
    <row r="12" spans="1:7" x14ac:dyDescent="0.25">
      <c r="A12" s="13" t="s">
        <v>158</v>
      </c>
      <c r="B12" s="9" t="s">
        <v>136</v>
      </c>
      <c r="C12" s="9" t="s">
        <v>61</v>
      </c>
      <c r="D12" s="9" t="s">
        <v>62</v>
      </c>
      <c r="E12">
        <v>950</v>
      </c>
      <c r="F12">
        <v>25</v>
      </c>
      <c r="G12" s="9" t="s">
        <v>28</v>
      </c>
    </row>
    <row r="13" spans="1:7" x14ac:dyDescent="0.25">
      <c r="A13" s="13" t="s">
        <v>159</v>
      </c>
      <c r="B13" s="9" t="s">
        <v>138</v>
      </c>
      <c r="C13" s="9" t="s">
        <v>30</v>
      </c>
      <c r="D13" s="9" t="s">
        <v>49</v>
      </c>
      <c r="E13">
        <v>90</v>
      </c>
      <c r="F13">
        <v>40</v>
      </c>
      <c r="G13" s="9" t="s">
        <v>32</v>
      </c>
    </row>
    <row r="14" spans="1:7" x14ac:dyDescent="0.25">
      <c r="A14" s="13" t="s">
        <v>160</v>
      </c>
      <c r="B14" s="9" t="s">
        <v>140</v>
      </c>
      <c r="C14" s="9" t="s">
        <v>34</v>
      </c>
      <c r="D14" s="9" t="s">
        <v>65</v>
      </c>
      <c r="E14">
        <v>120</v>
      </c>
      <c r="F14">
        <v>35</v>
      </c>
      <c r="G14" s="9" t="s">
        <v>28</v>
      </c>
    </row>
    <row r="15" spans="1:7" x14ac:dyDescent="0.25">
      <c r="A15" s="13" t="s">
        <v>161</v>
      </c>
      <c r="B15" s="9" t="s">
        <v>141</v>
      </c>
      <c r="C15" s="9" t="s">
        <v>67</v>
      </c>
      <c r="D15" s="9" t="s">
        <v>68</v>
      </c>
      <c r="E15">
        <v>150</v>
      </c>
      <c r="F15">
        <v>15</v>
      </c>
      <c r="G15" s="9" t="s">
        <v>28</v>
      </c>
    </row>
    <row r="16" spans="1:7" x14ac:dyDescent="0.25">
      <c r="A16" s="13" t="s">
        <v>162</v>
      </c>
      <c r="B16" s="9" t="s">
        <v>142</v>
      </c>
      <c r="C16" s="9" t="s">
        <v>44</v>
      </c>
      <c r="D16" s="9" t="s">
        <v>71</v>
      </c>
      <c r="E16">
        <v>250</v>
      </c>
      <c r="F16">
        <v>20</v>
      </c>
      <c r="G16" s="9" t="s">
        <v>28</v>
      </c>
    </row>
    <row r="17" spans="1:7" x14ac:dyDescent="0.25">
      <c r="A17" s="13" t="s">
        <v>163</v>
      </c>
      <c r="B17" s="9" t="s">
        <v>141</v>
      </c>
      <c r="C17" s="9" t="s">
        <v>73</v>
      </c>
      <c r="D17" s="9" t="s">
        <v>74</v>
      </c>
      <c r="E17">
        <v>50</v>
      </c>
      <c r="F17">
        <v>35</v>
      </c>
      <c r="G17" s="9" t="s">
        <v>75</v>
      </c>
    </row>
    <row r="18" spans="1:7" x14ac:dyDescent="0.25">
      <c r="A18" s="13" t="s">
        <v>164</v>
      </c>
      <c r="B18" s="9" t="s">
        <v>143</v>
      </c>
      <c r="C18" s="9" t="s">
        <v>67</v>
      </c>
      <c r="D18" s="9" t="s">
        <v>77</v>
      </c>
      <c r="E18">
        <v>160</v>
      </c>
      <c r="F18">
        <v>15</v>
      </c>
      <c r="G18" s="9" t="s">
        <v>28</v>
      </c>
    </row>
    <row r="19" spans="1:7" x14ac:dyDescent="0.25">
      <c r="A19" s="13" t="s">
        <v>165</v>
      </c>
      <c r="B19" s="9" t="s">
        <v>144</v>
      </c>
      <c r="C19" s="9" t="s">
        <v>61</v>
      </c>
      <c r="D19" s="9" t="s">
        <v>79</v>
      </c>
      <c r="E19">
        <v>980</v>
      </c>
      <c r="F19">
        <v>10</v>
      </c>
      <c r="G19" s="9" t="s">
        <v>28</v>
      </c>
    </row>
    <row r="20" spans="1:7" x14ac:dyDescent="0.25">
      <c r="A20" s="13" t="s">
        <v>166</v>
      </c>
      <c r="B20" s="9" t="s">
        <v>131</v>
      </c>
      <c r="C20" s="9" t="s">
        <v>81</v>
      </c>
      <c r="D20" s="9" t="s">
        <v>82</v>
      </c>
      <c r="E20">
        <v>150</v>
      </c>
      <c r="F20">
        <v>15</v>
      </c>
      <c r="G20" s="9" t="s">
        <v>32</v>
      </c>
    </row>
    <row r="21" spans="1:7" x14ac:dyDescent="0.25">
      <c r="A21" s="13" t="s">
        <v>167</v>
      </c>
      <c r="B21" s="9" t="s">
        <v>125</v>
      </c>
      <c r="C21" s="9" t="s">
        <v>84</v>
      </c>
      <c r="D21" s="9" t="s">
        <v>85</v>
      </c>
      <c r="E21">
        <v>309</v>
      </c>
      <c r="F21">
        <v>10</v>
      </c>
      <c r="G21" s="9" t="s">
        <v>59</v>
      </c>
    </row>
    <row r="22" spans="1:7" x14ac:dyDescent="0.25">
      <c r="A22" s="13" t="s">
        <v>168</v>
      </c>
      <c r="B22" s="9" t="s">
        <v>145</v>
      </c>
      <c r="C22" s="9" t="s">
        <v>87</v>
      </c>
      <c r="D22" s="9" t="s">
        <v>88</v>
      </c>
      <c r="E22">
        <v>700</v>
      </c>
      <c r="F22">
        <v>50</v>
      </c>
      <c r="G22" s="9" t="s">
        <v>28</v>
      </c>
    </row>
    <row r="23" spans="1:7" x14ac:dyDescent="0.25">
      <c r="A23" s="13" t="s">
        <v>169</v>
      </c>
      <c r="B23" s="9" t="s">
        <v>141</v>
      </c>
      <c r="C23" s="9" t="s">
        <v>90</v>
      </c>
      <c r="D23" s="9" t="s">
        <v>91</v>
      </c>
      <c r="E23">
        <v>80</v>
      </c>
      <c r="F23">
        <v>20</v>
      </c>
      <c r="G23" s="9" t="s">
        <v>36</v>
      </c>
    </row>
    <row r="24" spans="1:7" x14ac:dyDescent="0.25">
      <c r="A24" s="13" t="s">
        <v>154</v>
      </c>
      <c r="B24" s="9" t="s">
        <v>146</v>
      </c>
      <c r="C24" s="9" t="s">
        <v>93</v>
      </c>
      <c r="D24" s="9" t="s">
        <v>94</v>
      </c>
      <c r="E24">
        <v>150</v>
      </c>
      <c r="F24">
        <v>30</v>
      </c>
      <c r="G24" s="9" t="s">
        <v>28</v>
      </c>
    </row>
    <row r="25" spans="1:7" x14ac:dyDescent="0.25">
      <c r="A25" s="13" t="s">
        <v>163</v>
      </c>
      <c r="B25" s="9" t="s">
        <v>141</v>
      </c>
      <c r="C25" s="9" t="s">
        <v>73</v>
      </c>
      <c r="D25" s="9" t="s">
        <v>74</v>
      </c>
      <c r="E25">
        <v>50</v>
      </c>
      <c r="F25">
        <v>35</v>
      </c>
      <c r="G25" s="9" t="s">
        <v>75</v>
      </c>
    </row>
    <row r="26" spans="1:7" x14ac:dyDescent="0.25">
      <c r="A26" s="13" t="s">
        <v>170</v>
      </c>
      <c r="B26" s="9" t="s">
        <v>141</v>
      </c>
      <c r="C26" s="9" t="s">
        <v>96</v>
      </c>
      <c r="D26" s="9" t="s">
        <v>97</v>
      </c>
      <c r="E26">
        <v>800</v>
      </c>
      <c r="F26">
        <v>45</v>
      </c>
      <c r="G26" s="9" t="s">
        <v>28</v>
      </c>
    </row>
    <row r="27" spans="1:7" x14ac:dyDescent="0.25">
      <c r="A27" s="13" t="s">
        <v>171</v>
      </c>
      <c r="B27" s="9" t="s">
        <v>141</v>
      </c>
      <c r="C27" s="9" t="s">
        <v>81</v>
      </c>
      <c r="D27" s="9" t="s">
        <v>99</v>
      </c>
      <c r="E27">
        <v>309</v>
      </c>
      <c r="F27">
        <v>25</v>
      </c>
      <c r="G27" s="9" t="s">
        <v>32</v>
      </c>
    </row>
    <row r="28" spans="1:7" x14ac:dyDescent="0.25">
      <c r="A28" s="13" t="s">
        <v>172</v>
      </c>
      <c r="B28" s="9" t="s">
        <v>141</v>
      </c>
      <c r="C28" s="9" t="s">
        <v>51</v>
      </c>
      <c r="D28" s="9" t="s">
        <v>101</v>
      </c>
      <c r="E28">
        <v>400</v>
      </c>
      <c r="F28">
        <v>40</v>
      </c>
      <c r="G28" s="9" t="s">
        <v>36</v>
      </c>
    </row>
    <row r="29" spans="1:7" x14ac:dyDescent="0.25">
      <c r="A29" s="13" t="s">
        <v>162</v>
      </c>
      <c r="B29" s="9" t="s">
        <v>142</v>
      </c>
      <c r="C29" s="9" t="s">
        <v>44</v>
      </c>
      <c r="D29" s="9" t="s">
        <v>71</v>
      </c>
      <c r="E29">
        <v>250</v>
      </c>
      <c r="F29">
        <v>20</v>
      </c>
      <c r="G29" s="9" t="s">
        <v>28</v>
      </c>
    </row>
    <row r="30" spans="1:7" x14ac:dyDescent="0.25">
      <c r="A30" s="13" t="s">
        <v>173</v>
      </c>
      <c r="B30" s="9" t="s">
        <v>141</v>
      </c>
      <c r="C30" s="9" t="s">
        <v>103</v>
      </c>
      <c r="D30" s="9" t="s">
        <v>104</v>
      </c>
      <c r="E30">
        <v>60</v>
      </c>
      <c r="F30">
        <v>30</v>
      </c>
      <c r="G30" s="9" t="s">
        <v>32</v>
      </c>
    </row>
    <row r="31" spans="1:7" x14ac:dyDescent="0.25">
      <c r="A31" s="13" t="s">
        <v>174</v>
      </c>
      <c r="B31" s="9" t="s">
        <v>141</v>
      </c>
      <c r="C31" s="9" t="s">
        <v>106</v>
      </c>
      <c r="D31" s="9" t="s">
        <v>107</v>
      </c>
      <c r="E31">
        <v>40</v>
      </c>
      <c r="F31">
        <v>10</v>
      </c>
      <c r="G31" s="9" t="s">
        <v>36</v>
      </c>
    </row>
    <row r="32" spans="1:7" x14ac:dyDescent="0.25">
      <c r="A32" s="13" t="s">
        <v>175</v>
      </c>
      <c r="B32" s="9" t="s">
        <v>141</v>
      </c>
      <c r="C32" s="9" t="s">
        <v>93</v>
      </c>
      <c r="D32" s="9" t="s">
        <v>109</v>
      </c>
      <c r="E32">
        <v>130</v>
      </c>
      <c r="F32">
        <v>5</v>
      </c>
      <c r="G32" s="9" t="s">
        <v>28</v>
      </c>
    </row>
    <row r="33" spans="1:7" x14ac:dyDescent="0.25">
      <c r="A33" s="13" t="s">
        <v>176</v>
      </c>
      <c r="B33" s="9" t="s">
        <v>141</v>
      </c>
      <c r="C33" s="9" t="s">
        <v>111</v>
      </c>
      <c r="D33" s="9" t="s">
        <v>112</v>
      </c>
      <c r="E33">
        <v>50</v>
      </c>
      <c r="F33">
        <v>50</v>
      </c>
      <c r="G33" s="9" t="s">
        <v>32</v>
      </c>
    </row>
    <row r="34" spans="1:7" x14ac:dyDescent="0.25">
      <c r="A34" s="13" t="s">
        <v>158</v>
      </c>
      <c r="B34" s="9" t="s">
        <v>136</v>
      </c>
      <c r="C34" s="9" t="s">
        <v>61</v>
      </c>
      <c r="D34" s="9" t="s">
        <v>62</v>
      </c>
      <c r="E34">
        <v>950</v>
      </c>
      <c r="F34">
        <v>25</v>
      </c>
      <c r="G34" s="9" t="s">
        <v>28</v>
      </c>
    </row>
    <row r="35" spans="1:7" x14ac:dyDescent="0.25">
      <c r="A35" s="13" t="s">
        <v>177</v>
      </c>
      <c r="B35" s="9" t="s">
        <v>147</v>
      </c>
      <c r="C35" s="9" t="s">
        <v>114</v>
      </c>
      <c r="D35" s="9" t="s">
        <v>115</v>
      </c>
      <c r="E35">
        <v>100</v>
      </c>
      <c r="F35">
        <v>20</v>
      </c>
      <c r="G35" s="9" t="s">
        <v>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DBEF-3561-4846-B150-11485FA0C988}">
  <dimension ref="A1:H35"/>
  <sheetViews>
    <sheetView workbookViewId="0">
      <selection activeCell="C18" sqref="A2:H35"/>
    </sheetView>
  </sheetViews>
  <sheetFormatPr defaultRowHeight="12.5" x14ac:dyDescent="0.25"/>
  <cols>
    <col min="1" max="1" width="12.1796875" bestFit="1" customWidth="1"/>
    <col min="2" max="3" width="12.1796875" customWidth="1"/>
    <col min="4" max="4" width="15.36328125" bestFit="1" customWidth="1"/>
    <col min="5" max="5" width="13.6328125" bestFit="1" customWidth="1"/>
    <col min="6" max="6" width="10.26953125" bestFit="1" customWidth="1"/>
    <col min="7" max="7" width="10.453125" bestFit="1" customWidth="1"/>
    <col min="8" max="8" width="10.90625" bestFit="1" customWidth="1"/>
  </cols>
  <sheetData>
    <row r="1" spans="1:8" x14ac:dyDescent="0.25">
      <c r="A1" t="s">
        <v>19</v>
      </c>
      <c r="B1" t="s">
        <v>122</v>
      </c>
      <c r="C1" t="s">
        <v>123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s="9">
        <v>28</v>
      </c>
      <c r="B2" s="9" t="s">
        <v>124</v>
      </c>
      <c r="C2" s="9" t="s">
        <v>125</v>
      </c>
      <c r="D2" s="9" t="s">
        <v>61</v>
      </c>
      <c r="E2" s="9" t="s">
        <v>27</v>
      </c>
      <c r="F2">
        <v>1000</v>
      </c>
      <c r="G2">
        <v>30</v>
      </c>
      <c r="H2" s="9" t="s">
        <v>28</v>
      </c>
    </row>
    <row r="3" spans="1:8" x14ac:dyDescent="0.25">
      <c r="A3" s="9">
        <v>15</v>
      </c>
      <c r="B3" s="9" t="s">
        <v>126</v>
      </c>
      <c r="C3" s="9" t="s">
        <v>125</v>
      </c>
      <c r="D3" s="9" t="s">
        <v>30</v>
      </c>
      <c r="E3" s="9" t="s">
        <v>31</v>
      </c>
      <c r="F3">
        <v>80</v>
      </c>
      <c r="G3">
        <v>15</v>
      </c>
      <c r="H3" s="9" t="s">
        <v>32</v>
      </c>
    </row>
    <row r="4" spans="1:8" x14ac:dyDescent="0.25">
      <c r="A4" s="9">
        <v>3</v>
      </c>
      <c r="B4" s="9" t="s">
        <v>127</v>
      </c>
      <c r="C4" s="9" t="s">
        <v>125</v>
      </c>
      <c r="D4" s="9" t="s">
        <v>34</v>
      </c>
      <c r="E4" s="9" t="s">
        <v>35</v>
      </c>
      <c r="F4">
        <v>130</v>
      </c>
      <c r="G4">
        <v>40</v>
      </c>
      <c r="H4" s="9" t="s">
        <v>36</v>
      </c>
    </row>
    <row r="5" spans="1:8" x14ac:dyDescent="0.25">
      <c r="A5" s="9">
        <v>11</v>
      </c>
      <c r="B5" s="9" t="s">
        <v>128</v>
      </c>
      <c r="C5" s="9" t="s">
        <v>125</v>
      </c>
      <c r="D5" s="9" t="s">
        <v>96</v>
      </c>
      <c r="E5" s="9" t="s">
        <v>39</v>
      </c>
      <c r="F5">
        <v>900</v>
      </c>
      <c r="G5">
        <v>25</v>
      </c>
      <c r="H5" s="9" t="s">
        <v>28</v>
      </c>
    </row>
    <row r="6" spans="1:8" x14ac:dyDescent="0.25">
      <c r="A6" s="9">
        <v>22</v>
      </c>
      <c r="B6" s="9" t="s">
        <v>129</v>
      </c>
      <c r="C6" s="9" t="s">
        <v>125</v>
      </c>
      <c r="D6" s="9" t="s">
        <v>41</v>
      </c>
      <c r="E6" s="9" t="s">
        <v>42</v>
      </c>
      <c r="F6">
        <v>70</v>
      </c>
      <c r="G6">
        <v>20</v>
      </c>
      <c r="H6" s="9" t="s">
        <v>75</v>
      </c>
    </row>
    <row r="7" spans="1:8" x14ac:dyDescent="0.25">
      <c r="A7" s="9">
        <v>7</v>
      </c>
      <c r="B7" s="9" t="s">
        <v>130</v>
      </c>
      <c r="C7" s="9" t="s">
        <v>131</v>
      </c>
      <c r="D7" s="9" t="s">
        <v>44</v>
      </c>
      <c r="E7" s="9" t="s">
        <v>45</v>
      </c>
      <c r="F7">
        <v>309</v>
      </c>
      <c r="G7">
        <v>45</v>
      </c>
      <c r="H7" s="9" t="s">
        <v>28</v>
      </c>
    </row>
    <row r="8" spans="1:8" x14ac:dyDescent="0.25">
      <c r="A8" s="9">
        <v>19</v>
      </c>
      <c r="B8" s="9" t="s">
        <v>132</v>
      </c>
      <c r="C8" s="9" t="s">
        <v>131</v>
      </c>
      <c r="D8" s="9" t="s">
        <v>121</v>
      </c>
      <c r="E8" s="9" t="s">
        <v>49</v>
      </c>
      <c r="F8">
        <v>30</v>
      </c>
      <c r="G8">
        <v>5</v>
      </c>
      <c r="H8" s="9" t="s">
        <v>32</v>
      </c>
    </row>
    <row r="9" spans="1:8" x14ac:dyDescent="0.25">
      <c r="A9" s="9">
        <v>23</v>
      </c>
      <c r="B9" s="9" t="s">
        <v>133</v>
      </c>
      <c r="C9" s="9" t="s">
        <v>131</v>
      </c>
      <c r="D9" s="9" t="s">
        <v>51</v>
      </c>
      <c r="E9" s="9" t="s">
        <v>52</v>
      </c>
      <c r="F9">
        <v>90</v>
      </c>
      <c r="G9">
        <v>35</v>
      </c>
      <c r="H9" s="9" t="s">
        <v>36</v>
      </c>
    </row>
    <row r="10" spans="1:8" x14ac:dyDescent="0.25">
      <c r="A10" s="9">
        <v>5</v>
      </c>
      <c r="B10" s="9" t="s">
        <v>134</v>
      </c>
      <c r="C10" s="9" t="s">
        <v>131</v>
      </c>
      <c r="D10" s="9" t="s">
        <v>54</v>
      </c>
      <c r="E10" s="9" t="s">
        <v>55</v>
      </c>
      <c r="F10">
        <v>500</v>
      </c>
      <c r="G10">
        <v>50</v>
      </c>
      <c r="H10" s="9" t="s">
        <v>28</v>
      </c>
    </row>
    <row r="11" spans="1:8" x14ac:dyDescent="0.25">
      <c r="A11" s="9">
        <v>14</v>
      </c>
      <c r="B11" s="9" t="s">
        <v>135</v>
      </c>
      <c r="C11" s="9" t="s">
        <v>131</v>
      </c>
      <c r="D11" s="9" t="s">
        <v>57</v>
      </c>
      <c r="E11" s="9" t="s">
        <v>58</v>
      </c>
      <c r="F11">
        <v>130</v>
      </c>
      <c r="G11">
        <v>10</v>
      </c>
      <c r="H11" s="9" t="s">
        <v>59</v>
      </c>
    </row>
    <row r="12" spans="1:8" x14ac:dyDescent="0.25">
      <c r="A12" s="9">
        <v>17</v>
      </c>
      <c r="B12" s="9" t="s">
        <v>130</v>
      </c>
      <c r="C12" s="9" t="s">
        <v>136</v>
      </c>
      <c r="D12" s="9" t="s">
        <v>61</v>
      </c>
      <c r="E12" s="9" t="s">
        <v>62</v>
      </c>
      <c r="F12">
        <v>950</v>
      </c>
      <c r="G12">
        <v>25</v>
      </c>
      <c r="H12" s="9" t="s">
        <v>28</v>
      </c>
    </row>
    <row r="13" spans="1:8" x14ac:dyDescent="0.25">
      <c r="A13" s="9">
        <v>25</v>
      </c>
      <c r="B13" s="9" t="s">
        <v>137</v>
      </c>
      <c r="C13" s="9" t="s">
        <v>138</v>
      </c>
      <c r="D13" s="9" t="s">
        <v>30</v>
      </c>
      <c r="E13" s="9" t="s">
        <v>49</v>
      </c>
      <c r="F13">
        <v>90</v>
      </c>
      <c r="G13">
        <v>40</v>
      </c>
      <c r="H13" s="9" t="s">
        <v>32</v>
      </c>
    </row>
    <row r="14" spans="1:8" x14ac:dyDescent="0.25">
      <c r="A14" s="9">
        <v>8</v>
      </c>
      <c r="B14" s="9" t="s">
        <v>139</v>
      </c>
      <c r="C14" s="9" t="s">
        <v>140</v>
      </c>
      <c r="D14" s="9" t="s">
        <v>34</v>
      </c>
      <c r="E14" s="9" t="s">
        <v>65</v>
      </c>
      <c r="F14">
        <v>120</v>
      </c>
      <c r="G14">
        <v>35</v>
      </c>
      <c r="H14" s="9" t="s">
        <v>28</v>
      </c>
    </row>
    <row r="15" spans="1:8" x14ac:dyDescent="0.25">
      <c r="A15" s="9">
        <v>18</v>
      </c>
      <c r="B15" s="9" t="s">
        <v>126</v>
      </c>
      <c r="C15" s="9" t="s">
        <v>141</v>
      </c>
      <c r="D15" s="9" t="s">
        <v>67</v>
      </c>
      <c r="E15" s="9" t="s">
        <v>68</v>
      </c>
      <c r="F15">
        <v>150</v>
      </c>
      <c r="G15">
        <v>15</v>
      </c>
      <c r="H15" s="9" t="s">
        <v>28</v>
      </c>
    </row>
    <row r="16" spans="1:8" x14ac:dyDescent="0.25">
      <c r="A16" s="9">
        <v>16</v>
      </c>
      <c r="B16" s="9" t="s">
        <v>128</v>
      </c>
      <c r="C16" s="9" t="s">
        <v>142</v>
      </c>
      <c r="D16" s="9" t="s">
        <v>44</v>
      </c>
      <c r="E16" s="9" t="s">
        <v>71</v>
      </c>
      <c r="F16">
        <v>250</v>
      </c>
      <c r="G16">
        <v>20</v>
      </c>
      <c r="H16" s="9" t="s">
        <v>28</v>
      </c>
    </row>
    <row r="17" spans="1:8" x14ac:dyDescent="0.25">
      <c r="A17" s="9">
        <v>21</v>
      </c>
      <c r="B17" s="9" t="s">
        <v>133</v>
      </c>
      <c r="C17" s="9" t="s">
        <v>141</v>
      </c>
      <c r="D17" s="9" t="s">
        <v>73</v>
      </c>
      <c r="E17" s="9" t="s">
        <v>74</v>
      </c>
      <c r="F17">
        <v>50</v>
      </c>
      <c r="G17">
        <v>35</v>
      </c>
      <c r="H17" s="9" t="s">
        <v>75</v>
      </c>
    </row>
    <row r="18" spans="1:8" x14ac:dyDescent="0.25">
      <c r="A18" s="9">
        <v>20</v>
      </c>
      <c r="B18" s="9" t="s">
        <v>133</v>
      </c>
      <c r="C18" s="9" t="s">
        <v>143</v>
      </c>
      <c r="D18" s="9" t="s">
        <v>67</v>
      </c>
      <c r="E18" s="9" t="s">
        <v>77</v>
      </c>
      <c r="F18">
        <v>160</v>
      </c>
      <c r="G18">
        <v>15</v>
      </c>
      <c r="H18" s="9" t="s">
        <v>28</v>
      </c>
    </row>
    <row r="19" spans="1:8" x14ac:dyDescent="0.25">
      <c r="A19" s="9">
        <v>27</v>
      </c>
      <c r="B19" s="9" t="s">
        <v>124</v>
      </c>
      <c r="C19" s="9" t="s">
        <v>144</v>
      </c>
      <c r="D19" s="9" t="s">
        <v>61</v>
      </c>
      <c r="E19" s="9" t="s">
        <v>79</v>
      </c>
      <c r="F19">
        <v>980</v>
      </c>
      <c r="G19">
        <v>10</v>
      </c>
      <c r="H19" s="9" t="s">
        <v>28</v>
      </c>
    </row>
    <row r="20" spans="1:8" x14ac:dyDescent="0.25">
      <c r="A20" s="9">
        <v>1</v>
      </c>
      <c r="B20" s="9" t="s">
        <v>127</v>
      </c>
      <c r="C20" s="9" t="s">
        <v>131</v>
      </c>
      <c r="D20" s="9" t="s">
        <v>81</v>
      </c>
      <c r="E20" s="9" t="s">
        <v>82</v>
      </c>
      <c r="F20">
        <v>150</v>
      </c>
      <c r="G20">
        <v>15</v>
      </c>
      <c r="H20" s="9" t="s">
        <v>32</v>
      </c>
    </row>
    <row r="21" spans="1:8" x14ac:dyDescent="0.25">
      <c r="A21" s="9">
        <v>14</v>
      </c>
      <c r="B21" s="9" t="s">
        <v>133</v>
      </c>
      <c r="C21" s="9" t="s">
        <v>125</v>
      </c>
      <c r="D21" s="9" t="s">
        <v>84</v>
      </c>
      <c r="E21" s="9" t="s">
        <v>85</v>
      </c>
      <c r="F21">
        <v>309</v>
      </c>
      <c r="G21">
        <v>10</v>
      </c>
      <c r="H21" s="9" t="s">
        <v>59</v>
      </c>
    </row>
    <row r="22" spans="1:8" x14ac:dyDescent="0.25">
      <c r="A22" s="9">
        <v>14</v>
      </c>
      <c r="B22" s="9" t="s">
        <v>129</v>
      </c>
      <c r="C22" s="9" t="s">
        <v>145</v>
      </c>
      <c r="D22" s="9" t="s">
        <v>87</v>
      </c>
      <c r="E22" s="9" t="s">
        <v>88</v>
      </c>
      <c r="F22">
        <v>700</v>
      </c>
      <c r="G22">
        <v>50</v>
      </c>
      <c r="H22" s="9" t="s">
        <v>28</v>
      </c>
    </row>
    <row r="23" spans="1:8" x14ac:dyDescent="0.25">
      <c r="A23" s="9">
        <v>9</v>
      </c>
      <c r="B23" s="9" t="s">
        <v>124</v>
      </c>
      <c r="C23" s="9" t="s">
        <v>141</v>
      </c>
      <c r="D23" s="9" t="s">
        <v>90</v>
      </c>
      <c r="E23" s="9" t="s">
        <v>91</v>
      </c>
      <c r="F23">
        <v>80</v>
      </c>
      <c r="G23">
        <v>20</v>
      </c>
      <c r="H23" s="9" t="s">
        <v>36</v>
      </c>
    </row>
    <row r="24" spans="1:8" x14ac:dyDescent="0.25">
      <c r="A24" s="9">
        <v>19</v>
      </c>
      <c r="B24" s="9" t="s">
        <v>132</v>
      </c>
      <c r="C24" s="9" t="s">
        <v>146</v>
      </c>
      <c r="D24" s="9" t="s">
        <v>93</v>
      </c>
      <c r="E24" s="9" t="s">
        <v>94</v>
      </c>
      <c r="F24">
        <v>150</v>
      </c>
      <c r="G24">
        <v>30</v>
      </c>
      <c r="H24" s="9" t="s">
        <v>28</v>
      </c>
    </row>
    <row r="25" spans="1:8" x14ac:dyDescent="0.25">
      <c r="A25" s="9">
        <v>21</v>
      </c>
      <c r="B25" s="9" t="s">
        <v>133</v>
      </c>
      <c r="C25" s="9" t="s">
        <v>141</v>
      </c>
      <c r="D25" s="9" t="s">
        <v>73</v>
      </c>
      <c r="E25" s="9" t="s">
        <v>74</v>
      </c>
      <c r="F25">
        <v>50</v>
      </c>
      <c r="G25">
        <v>35</v>
      </c>
      <c r="H25" s="9" t="s">
        <v>75</v>
      </c>
    </row>
    <row r="26" spans="1:8" x14ac:dyDescent="0.25">
      <c r="A26" s="9">
        <v>29</v>
      </c>
      <c r="B26" s="9" t="s">
        <v>134</v>
      </c>
      <c r="C26" s="9" t="s">
        <v>141</v>
      </c>
      <c r="D26" s="9" t="s">
        <v>96</v>
      </c>
      <c r="E26" s="9" t="s">
        <v>97</v>
      </c>
      <c r="F26">
        <v>800</v>
      </c>
      <c r="G26">
        <v>45</v>
      </c>
      <c r="H26" s="9" t="s">
        <v>28</v>
      </c>
    </row>
    <row r="27" spans="1:8" x14ac:dyDescent="0.25">
      <c r="A27" s="9">
        <v>3</v>
      </c>
      <c r="B27" s="9" t="s">
        <v>130</v>
      </c>
      <c r="C27" s="9" t="s">
        <v>141</v>
      </c>
      <c r="D27" s="9" t="s">
        <v>81</v>
      </c>
      <c r="E27" s="9" t="s">
        <v>99</v>
      </c>
      <c r="F27">
        <v>309</v>
      </c>
      <c r="G27">
        <v>25</v>
      </c>
      <c r="H27" s="9" t="s">
        <v>32</v>
      </c>
    </row>
    <row r="28" spans="1:8" x14ac:dyDescent="0.25">
      <c r="A28" s="9">
        <v>11</v>
      </c>
      <c r="B28" s="9" t="s">
        <v>132</v>
      </c>
      <c r="C28" s="9" t="s">
        <v>141</v>
      </c>
      <c r="D28" s="9" t="s">
        <v>51</v>
      </c>
      <c r="E28" s="9" t="s">
        <v>101</v>
      </c>
      <c r="F28">
        <v>400</v>
      </c>
      <c r="G28">
        <v>40</v>
      </c>
      <c r="H28" s="9" t="s">
        <v>36</v>
      </c>
    </row>
    <row r="29" spans="1:8" x14ac:dyDescent="0.25">
      <c r="A29" s="9">
        <v>16</v>
      </c>
      <c r="B29" s="9" t="s">
        <v>128</v>
      </c>
      <c r="C29" s="9" t="s">
        <v>142</v>
      </c>
      <c r="D29" s="9" t="s">
        <v>44</v>
      </c>
      <c r="E29" s="9" t="s">
        <v>71</v>
      </c>
      <c r="F29">
        <v>250</v>
      </c>
      <c r="G29">
        <v>20</v>
      </c>
      <c r="H29" s="9" t="s">
        <v>28</v>
      </c>
    </row>
    <row r="30" spans="1:8" x14ac:dyDescent="0.25">
      <c r="A30" s="9">
        <v>7</v>
      </c>
      <c r="B30" s="9" t="s">
        <v>127</v>
      </c>
      <c r="C30" s="9" t="s">
        <v>141</v>
      </c>
      <c r="D30" s="9" t="s">
        <v>103</v>
      </c>
      <c r="E30" s="9" t="s">
        <v>104</v>
      </c>
      <c r="F30">
        <v>60</v>
      </c>
      <c r="G30">
        <v>30</v>
      </c>
      <c r="H30" s="9" t="s">
        <v>32</v>
      </c>
    </row>
    <row r="31" spans="1:8" x14ac:dyDescent="0.25">
      <c r="A31" s="9">
        <v>13</v>
      </c>
      <c r="B31" s="9" t="s">
        <v>128</v>
      </c>
      <c r="C31" s="9" t="s">
        <v>141</v>
      </c>
      <c r="D31" s="9" t="s">
        <v>106</v>
      </c>
      <c r="E31" s="9" t="s">
        <v>107</v>
      </c>
      <c r="F31">
        <v>40</v>
      </c>
      <c r="G31">
        <v>10</v>
      </c>
      <c r="H31" s="9" t="s">
        <v>36</v>
      </c>
    </row>
    <row r="32" spans="1:8" x14ac:dyDescent="0.25">
      <c r="A32" s="9">
        <v>24</v>
      </c>
      <c r="B32" s="9" t="s">
        <v>129</v>
      </c>
      <c r="C32" s="9" t="s">
        <v>141</v>
      </c>
      <c r="D32" s="9" t="s">
        <v>93</v>
      </c>
      <c r="E32" s="9" t="s">
        <v>109</v>
      </c>
      <c r="F32">
        <v>130</v>
      </c>
      <c r="G32">
        <v>5</v>
      </c>
      <c r="H32" s="9" t="s">
        <v>28</v>
      </c>
    </row>
    <row r="33" spans="1:8" x14ac:dyDescent="0.25">
      <c r="A33" s="9">
        <v>2</v>
      </c>
      <c r="B33" s="9" t="s">
        <v>139</v>
      </c>
      <c r="C33" s="9" t="s">
        <v>141</v>
      </c>
      <c r="D33" s="9" t="s">
        <v>111</v>
      </c>
      <c r="E33" s="9" t="s">
        <v>112</v>
      </c>
      <c r="F33">
        <v>50</v>
      </c>
      <c r="G33">
        <v>50</v>
      </c>
      <c r="H33" s="9" t="s">
        <v>32</v>
      </c>
    </row>
    <row r="34" spans="1:8" x14ac:dyDescent="0.25">
      <c r="A34" s="9">
        <v>17</v>
      </c>
      <c r="B34" s="9" t="s">
        <v>130</v>
      </c>
      <c r="C34" s="9" t="s">
        <v>136</v>
      </c>
      <c r="D34" s="9" t="s">
        <v>61</v>
      </c>
      <c r="E34" s="9" t="s">
        <v>62</v>
      </c>
      <c r="F34">
        <v>950</v>
      </c>
      <c r="G34">
        <v>25</v>
      </c>
      <c r="H34" s="9" t="s">
        <v>28</v>
      </c>
    </row>
    <row r="35" spans="1:8" x14ac:dyDescent="0.25">
      <c r="A35" s="9">
        <v>9</v>
      </c>
      <c r="B35" s="9" t="s">
        <v>132</v>
      </c>
      <c r="C35" s="9" t="s">
        <v>147</v>
      </c>
      <c r="D35" s="9" t="s">
        <v>114</v>
      </c>
      <c r="E35" s="9" t="s">
        <v>115</v>
      </c>
      <c r="F35">
        <v>100</v>
      </c>
      <c r="G35">
        <v>20</v>
      </c>
      <c r="H35" s="9" t="s">
        <v>75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4CE4-F8FC-40AF-8E71-CAD2F72088BE}">
  <dimension ref="A1:G35"/>
  <sheetViews>
    <sheetView workbookViewId="0">
      <selection activeCell="D12" sqref="A2:G35"/>
    </sheetView>
  </sheetViews>
  <sheetFormatPr defaultRowHeight="12.5" x14ac:dyDescent="0.25"/>
  <cols>
    <col min="1" max="1" width="12.1796875" bestFit="1" customWidth="1"/>
    <col min="2" max="2" width="15.36328125" bestFit="1" customWidth="1"/>
    <col min="3" max="3" width="13.6328125" bestFit="1" customWidth="1"/>
    <col min="4" max="4" width="10.26953125" bestFit="1" customWidth="1"/>
    <col min="5" max="5" width="10.453125" bestFit="1" customWidth="1"/>
    <col min="6" max="6" width="10.90625" bestFit="1" customWidth="1"/>
    <col min="7" max="7" width="10.6328125" bestFit="1" customWidth="1"/>
  </cols>
  <sheetData>
    <row r="1" spans="1: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116</v>
      </c>
    </row>
    <row r="2" spans="1:7" x14ac:dyDescent="0.25">
      <c r="A2" s="9" t="s">
        <v>25</v>
      </c>
      <c r="B2" s="9" t="s">
        <v>61</v>
      </c>
      <c r="C2" s="9" t="s">
        <v>27</v>
      </c>
      <c r="D2">
        <v>1000</v>
      </c>
      <c r="E2">
        <v>30</v>
      </c>
      <c r="F2" s="9" t="s">
        <v>28</v>
      </c>
      <c r="G2" s="9" t="e">
        <f t="shared" ref="G2:G35" si="0">MODE(F:F)</f>
        <v>#N/A</v>
      </c>
    </row>
    <row r="3" spans="1:7" x14ac:dyDescent="0.25">
      <c r="A3" s="9" t="s">
        <v>29</v>
      </c>
      <c r="B3" s="9" t="s">
        <v>30</v>
      </c>
      <c r="C3" s="9" t="s">
        <v>31</v>
      </c>
      <c r="D3">
        <v>80</v>
      </c>
      <c r="E3">
        <v>15</v>
      </c>
      <c r="F3" s="9" t="s">
        <v>32</v>
      </c>
      <c r="G3" s="9" t="e">
        <f t="shared" si="0"/>
        <v>#N/A</v>
      </c>
    </row>
    <row r="4" spans="1:7" x14ac:dyDescent="0.25">
      <c r="A4" s="9" t="s">
        <v>33</v>
      </c>
      <c r="B4" s="9" t="s">
        <v>34</v>
      </c>
      <c r="C4" s="9" t="s">
        <v>35</v>
      </c>
      <c r="D4">
        <v>130</v>
      </c>
      <c r="E4">
        <v>40</v>
      </c>
      <c r="F4" s="9" t="s">
        <v>36</v>
      </c>
      <c r="G4" s="9" t="e">
        <f t="shared" si="0"/>
        <v>#N/A</v>
      </c>
    </row>
    <row r="5" spans="1:7" x14ac:dyDescent="0.25">
      <c r="A5" s="9" t="s">
        <v>37</v>
      </c>
      <c r="B5" s="9" t="s">
        <v>96</v>
      </c>
      <c r="C5" s="9" t="s">
        <v>39</v>
      </c>
      <c r="D5">
        <v>900</v>
      </c>
      <c r="E5">
        <v>25</v>
      </c>
      <c r="F5" s="9" t="s">
        <v>28</v>
      </c>
      <c r="G5" s="9" t="e">
        <f t="shared" si="0"/>
        <v>#N/A</v>
      </c>
    </row>
    <row r="6" spans="1:7" x14ac:dyDescent="0.25">
      <c r="A6" s="9" t="s">
        <v>40</v>
      </c>
      <c r="B6" s="9" t="s">
        <v>41</v>
      </c>
      <c r="C6" s="9" t="s">
        <v>42</v>
      </c>
      <c r="D6">
        <v>70</v>
      </c>
      <c r="E6">
        <v>20</v>
      </c>
      <c r="F6" s="9" t="s">
        <v>75</v>
      </c>
      <c r="G6" s="9" t="e">
        <f t="shared" si="0"/>
        <v>#N/A</v>
      </c>
    </row>
    <row r="7" spans="1:7" x14ac:dyDescent="0.25">
      <c r="A7" s="9" t="s">
        <v>43</v>
      </c>
      <c r="B7" s="9" t="s">
        <v>44</v>
      </c>
      <c r="C7" s="9" t="s">
        <v>45</v>
      </c>
      <c r="D7">
        <v>309</v>
      </c>
      <c r="E7">
        <v>45</v>
      </c>
      <c r="F7" s="9" t="s">
        <v>46</v>
      </c>
      <c r="G7" s="9" t="e">
        <f t="shared" si="0"/>
        <v>#N/A</v>
      </c>
    </row>
    <row r="8" spans="1:7" x14ac:dyDescent="0.25">
      <c r="A8" s="9" t="s">
        <v>47</v>
      </c>
      <c r="B8" s="9" t="s">
        <v>121</v>
      </c>
      <c r="C8" s="9" t="s">
        <v>49</v>
      </c>
      <c r="D8">
        <v>30</v>
      </c>
      <c r="E8">
        <v>5</v>
      </c>
      <c r="F8" s="9" t="s">
        <v>32</v>
      </c>
      <c r="G8" s="9" t="e">
        <f t="shared" si="0"/>
        <v>#N/A</v>
      </c>
    </row>
    <row r="9" spans="1:7" x14ac:dyDescent="0.25">
      <c r="A9" s="9" t="s">
        <v>50</v>
      </c>
      <c r="B9" s="9" t="s">
        <v>51</v>
      </c>
      <c r="C9" s="9" t="s">
        <v>52</v>
      </c>
      <c r="D9">
        <v>90</v>
      </c>
      <c r="E9">
        <v>35</v>
      </c>
      <c r="F9" s="9" t="s">
        <v>36</v>
      </c>
      <c r="G9" s="9" t="e">
        <f t="shared" si="0"/>
        <v>#N/A</v>
      </c>
    </row>
    <row r="10" spans="1:7" x14ac:dyDescent="0.25">
      <c r="A10" s="9" t="s">
        <v>53</v>
      </c>
      <c r="B10" s="9" t="s">
        <v>54</v>
      </c>
      <c r="C10" s="9" t="s">
        <v>55</v>
      </c>
      <c r="D10">
        <v>500</v>
      </c>
      <c r="E10">
        <v>50</v>
      </c>
      <c r="F10" s="9" t="s">
        <v>28</v>
      </c>
      <c r="G10" s="9" t="e">
        <f t="shared" si="0"/>
        <v>#N/A</v>
      </c>
    </row>
    <row r="11" spans="1:7" x14ac:dyDescent="0.25">
      <c r="A11" s="9" t="s">
        <v>56</v>
      </c>
      <c r="B11" s="9" t="s">
        <v>57</v>
      </c>
      <c r="C11" s="9" t="s">
        <v>58</v>
      </c>
      <c r="D11">
        <v>130</v>
      </c>
      <c r="E11">
        <v>10</v>
      </c>
      <c r="F11" s="9" t="s">
        <v>59</v>
      </c>
      <c r="G11" s="9" t="e">
        <f t="shared" si="0"/>
        <v>#N/A</v>
      </c>
    </row>
    <row r="12" spans="1:7" x14ac:dyDescent="0.25">
      <c r="A12" s="9" t="s">
        <v>60</v>
      </c>
      <c r="B12" s="9" t="s">
        <v>61</v>
      </c>
      <c r="C12" s="9" t="s">
        <v>62</v>
      </c>
      <c r="D12">
        <v>950</v>
      </c>
      <c r="E12">
        <v>25</v>
      </c>
      <c r="F12" s="9" t="s">
        <v>28</v>
      </c>
      <c r="G12" s="9" t="e">
        <f t="shared" si="0"/>
        <v>#N/A</v>
      </c>
    </row>
    <row r="13" spans="1:7" x14ac:dyDescent="0.25">
      <c r="A13" s="9" t="s">
        <v>63</v>
      </c>
      <c r="B13" s="9" t="s">
        <v>30</v>
      </c>
      <c r="C13" s="9" t="s">
        <v>49</v>
      </c>
      <c r="D13">
        <v>90</v>
      </c>
      <c r="E13">
        <v>40</v>
      </c>
      <c r="F13" s="9" t="s">
        <v>32</v>
      </c>
      <c r="G13" s="9" t="e">
        <f t="shared" si="0"/>
        <v>#N/A</v>
      </c>
    </row>
    <row r="14" spans="1:7" x14ac:dyDescent="0.25">
      <c r="A14" s="9" t="s">
        <v>64</v>
      </c>
      <c r="B14" s="9" t="s">
        <v>34</v>
      </c>
      <c r="C14" s="9" t="s">
        <v>65</v>
      </c>
      <c r="D14">
        <v>120</v>
      </c>
      <c r="E14">
        <v>35</v>
      </c>
      <c r="F14" s="9" t="s">
        <v>28</v>
      </c>
      <c r="G14" s="9" t="e">
        <f t="shared" si="0"/>
        <v>#N/A</v>
      </c>
    </row>
    <row r="15" spans="1:7" x14ac:dyDescent="0.25">
      <c r="A15" s="9" t="s">
        <v>66</v>
      </c>
      <c r="B15" s="9" t="s">
        <v>67</v>
      </c>
      <c r="C15" s="9" t="s">
        <v>68</v>
      </c>
      <c r="D15">
        <v>150</v>
      </c>
      <c r="E15">
        <v>15</v>
      </c>
      <c r="F15" s="9" t="s">
        <v>46</v>
      </c>
      <c r="G15" s="9" t="e">
        <f t="shared" si="0"/>
        <v>#N/A</v>
      </c>
    </row>
    <row r="16" spans="1:7" x14ac:dyDescent="0.25">
      <c r="A16" s="9" t="s">
        <v>69</v>
      </c>
      <c r="B16" s="9" t="s">
        <v>44</v>
      </c>
      <c r="C16" s="9" t="s">
        <v>71</v>
      </c>
      <c r="D16">
        <v>250</v>
      </c>
      <c r="E16">
        <v>20</v>
      </c>
      <c r="F16" s="9" t="s">
        <v>46</v>
      </c>
      <c r="G16" s="9" t="e">
        <f t="shared" si="0"/>
        <v>#N/A</v>
      </c>
    </row>
    <row r="17" spans="1:7" x14ac:dyDescent="0.25">
      <c r="A17" s="9" t="s">
        <v>72</v>
      </c>
      <c r="B17" s="9" t="s">
        <v>73</v>
      </c>
      <c r="C17" s="9" t="s">
        <v>74</v>
      </c>
      <c r="D17">
        <v>50</v>
      </c>
      <c r="E17">
        <v>35</v>
      </c>
      <c r="F17" s="9" t="s">
        <v>75</v>
      </c>
      <c r="G17" s="9" t="e">
        <f t="shared" si="0"/>
        <v>#N/A</v>
      </c>
    </row>
    <row r="18" spans="1:7" x14ac:dyDescent="0.25">
      <c r="A18" s="9" t="s">
        <v>76</v>
      </c>
      <c r="B18" s="9" t="s">
        <v>67</v>
      </c>
      <c r="C18" s="9" t="s">
        <v>77</v>
      </c>
      <c r="D18">
        <v>160</v>
      </c>
      <c r="E18">
        <v>15</v>
      </c>
      <c r="F18" s="9" t="s">
        <v>46</v>
      </c>
      <c r="G18" s="9" t="e">
        <f t="shared" si="0"/>
        <v>#N/A</v>
      </c>
    </row>
    <row r="19" spans="1:7" x14ac:dyDescent="0.25">
      <c r="A19" s="9" t="s">
        <v>78</v>
      </c>
      <c r="B19" s="9" t="s">
        <v>61</v>
      </c>
      <c r="C19" s="9" t="s">
        <v>79</v>
      </c>
      <c r="D19">
        <v>980</v>
      </c>
      <c r="E19">
        <v>10</v>
      </c>
      <c r="F19" s="9" t="s">
        <v>28</v>
      </c>
      <c r="G19" s="9" t="e">
        <f t="shared" si="0"/>
        <v>#N/A</v>
      </c>
    </row>
    <row r="20" spans="1:7" x14ac:dyDescent="0.25">
      <c r="A20" s="9" t="s">
        <v>80</v>
      </c>
      <c r="B20" s="9" t="s">
        <v>81</v>
      </c>
      <c r="C20" s="9" t="s">
        <v>82</v>
      </c>
      <c r="D20">
        <v>150</v>
      </c>
      <c r="E20">
        <v>15</v>
      </c>
      <c r="F20" s="9" t="s">
        <v>32</v>
      </c>
      <c r="G20" s="9" t="e">
        <f t="shared" si="0"/>
        <v>#N/A</v>
      </c>
    </row>
    <row r="21" spans="1:7" x14ac:dyDescent="0.25">
      <c r="A21" s="9" t="s">
        <v>83</v>
      </c>
      <c r="B21" s="9" t="s">
        <v>84</v>
      </c>
      <c r="C21" s="9" t="s">
        <v>85</v>
      </c>
      <c r="D21">
        <v>309</v>
      </c>
      <c r="E21">
        <v>10</v>
      </c>
      <c r="F21" s="9" t="s">
        <v>59</v>
      </c>
      <c r="G21" s="9" t="e">
        <f t="shared" si="0"/>
        <v>#N/A</v>
      </c>
    </row>
    <row r="22" spans="1:7" x14ac:dyDescent="0.25">
      <c r="A22" s="9" t="s">
        <v>86</v>
      </c>
      <c r="B22" s="9" t="s">
        <v>87</v>
      </c>
      <c r="C22" s="9" t="s">
        <v>88</v>
      </c>
      <c r="D22">
        <v>700</v>
      </c>
      <c r="E22">
        <v>50</v>
      </c>
      <c r="F22" s="9" t="s">
        <v>28</v>
      </c>
      <c r="G22" s="9" t="e">
        <f t="shared" si="0"/>
        <v>#N/A</v>
      </c>
    </row>
    <row r="23" spans="1:7" x14ac:dyDescent="0.25">
      <c r="A23" s="9" t="s">
        <v>89</v>
      </c>
      <c r="B23" s="9" t="s">
        <v>90</v>
      </c>
      <c r="C23" s="9" t="s">
        <v>91</v>
      </c>
      <c r="D23">
        <v>80</v>
      </c>
      <c r="E23">
        <v>20</v>
      </c>
      <c r="F23" s="9" t="s">
        <v>36</v>
      </c>
      <c r="G23" s="9" t="e">
        <f t="shared" si="0"/>
        <v>#N/A</v>
      </c>
    </row>
    <row r="24" spans="1:7" x14ac:dyDescent="0.25">
      <c r="A24" s="9" t="s">
        <v>92</v>
      </c>
      <c r="B24" s="9" t="s">
        <v>93</v>
      </c>
      <c r="C24" s="9" t="s">
        <v>94</v>
      </c>
      <c r="D24">
        <v>150</v>
      </c>
      <c r="E24">
        <v>30</v>
      </c>
      <c r="F24" s="9" t="s">
        <v>28</v>
      </c>
      <c r="G24" s="9" t="e">
        <f t="shared" si="0"/>
        <v>#N/A</v>
      </c>
    </row>
    <row r="25" spans="1:7" x14ac:dyDescent="0.25">
      <c r="A25" s="9" t="s">
        <v>72</v>
      </c>
      <c r="B25" s="9" t="s">
        <v>73</v>
      </c>
      <c r="C25" s="9" t="s">
        <v>74</v>
      </c>
      <c r="D25">
        <v>50</v>
      </c>
      <c r="E25">
        <v>35</v>
      </c>
      <c r="F25" s="9" t="s">
        <v>75</v>
      </c>
      <c r="G25" s="9" t="e">
        <f t="shared" si="0"/>
        <v>#N/A</v>
      </c>
    </row>
    <row r="26" spans="1:7" x14ac:dyDescent="0.25">
      <c r="A26" s="9" t="s">
        <v>95</v>
      </c>
      <c r="B26" s="9" t="s">
        <v>96</v>
      </c>
      <c r="C26" s="9" t="s">
        <v>97</v>
      </c>
      <c r="D26">
        <v>800</v>
      </c>
      <c r="E26">
        <v>45</v>
      </c>
      <c r="F26" s="9" t="s">
        <v>28</v>
      </c>
      <c r="G26" s="9" t="e">
        <f t="shared" si="0"/>
        <v>#N/A</v>
      </c>
    </row>
    <row r="27" spans="1:7" x14ac:dyDescent="0.25">
      <c r="A27" s="9" t="s">
        <v>98</v>
      </c>
      <c r="B27" s="9" t="s">
        <v>81</v>
      </c>
      <c r="C27" s="9" t="s">
        <v>99</v>
      </c>
      <c r="D27">
        <v>309</v>
      </c>
      <c r="E27">
        <v>25</v>
      </c>
      <c r="F27" s="9" t="s">
        <v>32</v>
      </c>
      <c r="G27" s="9" t="e">
        <f t="shared" si="0"/>
        <v>#N/A</v>
      </c>
    </row>
    <row r="28" spans="1:7" x14ac:dyDescent="0.25">
      <c r="A28" s="9" t="s">
        <v>100</v>
      </c>
      <c r="B28" s="9" t="s">
        <v>51</v>
      </c>
      <c r="C28" s="9" t="s">
        <v>101</v>
      </c>
      <c r="D28">
        <v>400</v>
      </c>
      <c r="E28">
        <v>40</v>
      </c>
      <c r="F28" s="9" t="s">
        <v>36</v>
      </c>
      <c r="G28" s="9" t="e">
        <f t="shared" si="0"/>
        <v>#N/A</v>
      </c>
    </row>
    <row r="29" spans="1:7" x14ac:dyDescent="0.25">
      <c r="A29" s="9" t="s">
        <v>69</v>
      </c>
      <c r="B29" s="9" t="s">
        <v>44</v>
      </c>
      <c r="C29" s="9" t="s">
        <v>71</v>
      </c>
      <c r="D29">
        <v>250</v>
      </c>
      <c r="E29">
        <v>20</v>
      </c>
      <c r="F29" s="9" t="s">
        <v>46</v>
      </c>
      <c r="G29" s="9" t="e">
        <f t="shared" si="0"/>
        <v>#N/A</v>
      </c>
    </row>
    <row r="30" spans="1:7" x14ac:dyDescent="0.25">
      <c r="A30" s="9" t="s">
        <v>102</v>
      </c>
      <c r="B30" s="9" t="s">
        <v>103</v>
      </c>
      <c r="C30" s="9" t="s">
        <v>104</v>
      </c>
      <c r="D30">
        <v>60</v>
      </c>
      <c r="E30">
        <v>30</v>
      </c>
      <c r="F30" s="9" t="s">
        <v>32</v>
      </c>
      <c r="G30" s="9" t="e">
        <f t="shared" si="0"/>
        <v>#N/A</v>
      </c>
    </row>
    <row r="31" spans="1:7" x14ac:dyDescent="0.25">
      <c r="A31" s="9" t="s">
        <v>105</v>
      </c>
      <c r="B31" s="9" t="s">
        <v>106</v>
      </c>
      <c r="C31" s="9" t="s">
        <v>107</v>
      </c>
      <c r="D31">
        <v>40</v>
      </c>
      <c r="E31">
        <v>10</v>
      </c>
      <c r="F31" s="9" t="s">
        <v>36</v>
      </c>
      <c r="G31" s="9" t="e">
        <f t="shared" si="0"/>
        <v>#N/A</v>
      </c>
    </row>
    <row r="32" spans="1:7" x14ac:dyDescent="0.25">
      <c r="A32" s="9" t="s">
        <v>108</v>
      </c>
      <c r="B32" s="9" t="s">
        <v>93</v>
      </c>
      <c r="C32" s="9" t="s">
        <v>109</v>
      </c>
      <c r="D32">
        <v>130</v>
      </c>
      <c r="E32">
        <v>5</v>
      </c>
      <c r="F32" s="9" t="s">
        <v>28</v>
      </c>
      <c r="G32" s="9" t="e">
        <f t="shared" si="0"/>
        <v>#N/A</v>
      </c>
    </row>
    <row r="33" spans="1:7" x14ac:dyDescent="0.25">
      <c r="A33" s="9" t="s">
        <v>110</v>
      </c>
      <c r="B33" s="9" t="s">
        <v>111</v>
      </c>
      <c r="C33" s="9" t="s">
        <v>112</v>
      </c>
      <c r="D33">
        <v>50</v>
      </c>
      <c r="E33">
        <v>50</v>
      </c>
      <c r="F33" s="9" t="s">
        <v>32</v>
      </c>
      <c r="G33" s="9" t="e">
        <f t="shared" si="0"/>
        <v>#N/A</v>
      </c>
    </row>
    <row r="34" spans="1:7" x14ac:dyDescent="0.25">
      <c r="A34" s="9" t="s">
        <v>60</v>
      </c>
      <c r="B34" s="9" t="s">
        <v>61</v>
      </c>
      <c r="C34" s="9" t="s">
        <v>62</v>
      </c>
      <c r="D34">
        <v>950</v>
      </c>
      <c r="E34">
        <v>25</v>
      </c>
      <c r="F34" s="9" t="s">
        <v>28</v>
      </c>
      <c r="G34" s="9" t="e">
        <f t="shared" si="0"/>
        <v>#N/A</v>
      </c>
    </row>
    <row r="35" spans="1:7" x14ac:dyDescent="0.25">
      <c r="A35" s="9" t="s">
        <v>113</v>
      </c>
      <c r="B35" s="9" t="s">
        <v>114</v>
      </c>
      <c r="C35" s="9" t="s">
        <v>115</v>
      </c>
      <c r="D35">
        <v>100</v>
      </c>
      <c r="E35">
        <v>20</v>
      </c>
      <c r="F35" s="9" t="s">
        <v>75</v>
      </c>
      <c r="G35" s="9" t="e">
        <f t="shared" si="0"/>
        <v>#N/A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0B5F-AD31-47F0-B91C-DEF86DD62A5C}">
  <dimension ref="A1:F35"/>
  <sheetViews>
    <sheetView workbookViewId="0">
      <selection activeCell="C16" sqref="A2:F35"/>
    </sheetView>
  </sheetViews>
  <sheetFormatPr defaultRowHeight="12.5" x14ac:dyDescent="0.25"/>
  <cols>
    <col min="1" max="1" width="14.453125" bestFit="1" customWidth="1"/>
    <col min="2" max="2" width="17.6328125" bestFit="1" customWidth="1"/>
    <col min="3" max="3" width="15.90625" bestFit="1" customWidth="1"/>
    <col min="4" max="4" width="12.54296875" bestFit="1" customWidth="1"/>
    <col min="5" max="5" width="10.1796875" customWidth="1"/>
    <col min="6" max="6" width="10.6328125" customWidth="1"/>
  </cols>
  <sheetData>
    <row r="1" spans="1:6" ht="13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1D2103-40E0-4738-BDF1-A73E5E97A8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Table1_3</vt:lpstr>
      <vt:lpstr>Instructions</vt:lpstr>
      <vt:lpstr>Dataset</vt:lpstr>
      <vt:lpstr>Table1_2</vt:lpstr>
      <vt:lpstr>Table1_1</vt:lpstr>
      <vt:lpstr>Table1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Teja Gorre</cp:lastModifiedBy>
  <dcterms:modified xsi:type="dcterms:W3CDTF">2026-10-11T13:04:14Z</dcterms:modified>
</cp:coreProperties>
</file>